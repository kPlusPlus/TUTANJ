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K:\bitcoin\"/>
    </mc:Choice>
  </mc:AlternateContent>
  <xr:revisionPtr revIDLastSave="0" documentId="13_ncr:1_{ACDDFC37-070B-4D07-BA00-8697802E4D1F}" xr6:coauthVersionLast="45" xr6:coauthVersionMax="45" xr10:uidLastSave="{00000000-0000-0000-0000-000000000000}"/>
  <bookViews>
    <workbookView xWindow="7125" yWindow="2040" windowWidth="22485" windowHeight="14415" xr2:uid="{3EF4A0A5-F70E-4578-9F74-15BD0EBCBDB6}"/>
  </bookViews>
  <sheets>
    <sheet name="ideal_plan" sheetId="5" r:id="rId1"/>
    <sheet name="Sheet1" sheetId="1" r:id="rId2"/>
    <sheet name="IRA ROTH" sheetId="7" r:id="rId3"/>
    <sheet name="IR MOB" sheetId="8" r:id="rId4"/>
    <sheet name="plan stepenica" sheetId="6" r:id="rId5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3" i="1" l="1"/>
  <c r="G2" i="1"/>
  <c r="D2" i="8" l="1"/>
  <c r="B3" i="8" s="1"/>
  <c r="H2" i="8" l="1"/>
  <c r="D3" i="8"/>
  <c r="B4" i="8" s="1"/>
  <c r="H24" i="7"/>
  <c r="H13" i="7"/>
  <c r="E2" i="7"/>
  <c r="C3" i="7" s="1"/>
  <c r="E3" i="7" s="1"/>
  <c r="C4" i="7" s="1"/>
  <c r="E4" i="7" s="1"/>
  <c r="C5" i="7" s="1"/>
  <c r="E5" i="7" s="1"/>
  <c r="C6" i="7" s="1"/>
  <c r="E6" i="7" s="1"/>
  <c r="C7" i="7" s="1"/>
  <c r="E7" i="7" s="1"/>
  <c r="C8" i="7" s="1"/>
  <c r="E8" i="7" s="1"/>
  <c r="C9" i="7" s="1"/>
  <c r="E9" i="7" s="1"/>
  <c r="C10" i="7" s="1"/>
  <c r="E10" i="7" s="1"/>
  <c r="C11" i="7" s="1"/>
  <c r="E11" i="7" s="1"/>
  <c r="C12" i="7" s="1"/>
  <c r="E12" i="7" s="1"/>
  <c r="C13" i="7" s="1"/>
  <c r="E13" i="7" s="1"/>
  <c r="C14" i="7" l="1"/>
  <c r="E14" i="7" s="1"/>
  <c r="C15" i="7" s="1"/>
  <c r="E15" i="7" s="1"/>
  <c r="C16" i="7" s="1"/>
  <c r="E16" i="7" s="1"/>
  <c r="C17" i="7" s="1"/>
  <c r="E17" i="7" s="1"/>
  <c r="C18" i="7" s="1"/>
  <c r="E18" i="7" s="1"/>
  <c r="C19" i="7" s="1"/>
  <c r="E19" i="7" s="1"/>
  <c r="C20" i="7" s="1"/>
  <c r="E20" i="7" s="1"/>
  <c r="C21" i="7" s="1"/>
  <c r="E21" i="7" s="1"/>
  <c r="C22" i="7" s="1"/>
  <c r="E22" i="7" s="1"/>
  <c r="C23" i="7" s="1"/>
  <c r="E23" i="7" s="1"/>
  <c r="C24" i="7" s="1"/>
  <c r="E24" i="7" s="1"/>
  <c r="I24" i="7" s="1"/>
  <c r="I13" i="7"/>
  <c r="J24" i="7"/>
  <c r="J13" i="7"/>
  <c r="D4" i="8"/>
  <c r="B5" i="8" s="1"/>
  <c r="H3" i="8"/>
  <c r="C4" i="6"/>
  <c r="B3" i="6"/>
  <c r="G2" i="6"/>
  <c r="D5" i="8" l="1"/>
  <c r="B6" i="8" s="1"/>
  <c r="H4" i="8"/>
  <c r="A3" i="5"/>
  <c r="A4" i="5" s="1"/>
  <c r="A5" i="5" s="1"/>
  <c r="A6" i="5" s="1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A25" i="5" s="1"/>
  <c r="A26" i="5" s="1"/>
  <c r="A27" i="5" s="1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C2" i="5"/>
  <c r="B3" i="5" s="1"/>
  <c r="C3" i="5" s="1"/>
  <c r="B4" i="5" s="1"/>
  <c r="C4" i="5" s="1"/>
  <c r="B5" i="5" s="1"/>
  <c r="C5" i="5" s="1"/>
  <c r="B6" i="5" s="1"/>
  <c r="C6" i="5" s="1"/>
  <c r="B7" i="5" s="1"/>
  <c r="C7" i="5" s="1"/>
  <c r="B8" i="5" s="1"/>
  <c r="C8" i="5" s="1"/>
  <c r="B9" i="5" s="1"/>
  <c r="C9" i="5" s="1"/>
  <c r="B10" i="5" s="1"/>
  <c r="C10" i="5" s="1"/>
  <c r="B11" i="5" s="1"/>
  <c r="C11" i="5" s="1"/>
  <c r="B12" i="5" s="1"/>
  <c r="C12" i="5" s="1"/>
  <c r="B13" i="5" s="1"/>
  <c r="C13" i="5" s="1"/>
  <c r="B14" i="5" s="1"/>
  <c r="C14" i="5" s="1"/>
  <c r="B15" i="5" s="1"/>
  <c r="C15" i="5" s="1"/>
  <c r="B16" i="5" s="1"/>
  <c r="C16" i="5" s="1"/>
  <c r="B17" i="5" s="1"/>
  <c r="C17" i="5" s="1"/>
  <c r="B18" i="5" s="1"/>
  <c r="C18" i="5" s="1"/>
  <c r="B19" i="5" s="1"/>
  <c r="C19" i="5" s="1"/>
  <c r="B20" i="5" s="1"/>
  <c r="C20" i="5" s="1"/>
  <c r="B21" i="5" s="1"/>
  <c r="C21" i="5" s="1"/>
  <c r="B22" i="5" s="1"/>
  <c r="C22" i="5" s="1"/>
  <c r="B23" i="5" s="1"/>
  <c r="C23" i="5" s="1"/>
  <c r="B24" i="5" s="1"/>
  <c r="C24" i="5" s="1"/>
  <c r="B25" i="5" s="1"/>
  <c r="C25" i="5" s="1"/>
  <c r="B26" i="5" s="1"/>
  <c r="C26" i="5" s="1"/>
  <c r="B27" i="5" s="1"/>
  <c r="C27" i="5" s="1"/>
  <c r="B28" i="5" s="1"/>
  <c r="C28" i="5" s="1"/>
  <c r="B29" i="5" s="1"/>
  <c r="C29" i="5" s="1"/>
  <c r="B30" i="5" s="1"/>
  <c r="C30" i="5" s="1"/>
  <c r="B31" i="5" s="1"/>
  <c r="C31" i="5" s="1"/>
  <c r="B32" i="5" s="1"/>
  <c r="C32" i="5" s="1"/>
  <c r="B33" i="5" s="1"/>
  <c r="C33" i="5" l="1"/>
  <c r="B34" i="5" s="1"/>
  <c r="C34" i="5" s="1"/>
  <c r="B35" i="5" s="1"/>
  <c r="C35" i="5" s="1"/>
  <c r="B36" i="5" s="1"/>
  <c r="C36" i="5" s="1"/>
  <c r="B37" i="5" s="1"/>
  <c r="C37" i="5" s="1"/>
  <c r="B38" i="5" s="1"/>
  <c r="C38" i="5" s="1"/>
  <c r="B39" i="5" s="1"/>
  <c r="C39" i="5" s="1"/>
  <c r="B40" i="5" s="1"/>
  <c r="C40" i="5" s="1"/>
  <c r="B41" i="5" s="1"/>
  <c r="C41" i="5" s="1"/>
  <c r="B42" i="5" s="1"/>
  <c r="C42" i="5" s="1"/>
  <c r="B43" i="5" s="1"/>
  <c r="C43" i="5" s="1"/>
  <c r="B44" i="5" s="1"/>
  <c r="C44" i="5" s="1"/>
  <c r="B45" i="5" s="1"/>
  <c r="C45" i="5" s="1"/>
  <c r="B46" i="5" s="1"/>
  <c r="C46" i="5" s="1"/>
  <c r="B47" i="5" s="1"/>
  <c r="C47" i="5" s="1"/>
  <c r="B48" i="5" s="1"/>
  <c r="C48" i="5" s="1"/>
  <c r="B49" i="5" s="1"/>
  <c r="C49" i="5" s="1"/>
  <c r="B50" i="5" s="1"/>
  <c r="C50" i="5" s="1"/>
  <c r="B51" i="5" s="1"/>
  <c r="C51" i="5" s="1"/>
  <c r="B52" i="5" s="1"/>
  <c r="C52" i="5" s="1"/>
  <c r="B53" i="5" s="1"/>
  <c r="C53" i="5" s="1"/>
  <c r="B54" i="5" s="1"/>
  <c r="C54" i="5" s="1"/>
  <c r="B55" i="5" s="1"/>
  <c r="C55" i="5" s="1"/>
  <c r="B56" i="5" s="1"/>
  <c r="C56" i="5" s="1"/>
  <c r="B57" i="5" s="1"/>
  <c r="C57" i="5" s="1"/>
  <c r="B58" i="5" s="1"/>
  <c r="C58" i="5" s="1"/>
  <c r="B59" i="5" s="1"/>
  <c r="C59" i="5" s="1"/>
  <c r="B60" i="5" s="1"/>
  <c r="C60" i="5" s="1"/>
  <c r="B61" i="5" s="1"/>
  <c r="C61" i="5" s="1"/>
  <c r="B62" i="5" s="1"/>
  <c r="C62" i="5" s="1"/>
  <c r="B63" i="5" s="1"/>
  <c r="C63" i="5" s="1"/>
  <c r="B64" i="5" s="1"/>
  <c r="C64" i="5" s="1"/>
  <c r="B65" i="5" s="1"/>
  <c r="C65" i="5" s="1"/>
  <c r="B66" i="5" s="1"/>
  <c r="C66" i="5" s="1"/>
  <c r="B67" i="5" s="1"/>
  <c r="C67" i="5" s="1"/>
  <c r="B68" i="5" s="1"/>
  <c r="C68" i="5" s="1"/>
  <c r="B69" i="5" s="1"/>
  <c r="C69" i="5" s="1"/>
  <c r="B70" i="5" s="1"/>
  <c r="C70" i="5" s="1"/>
  <c r="B71" i="5" s="1"/>
  <c r="C71" i="5" s="1"/>
  <c r="B72" i="5" s="1"/>
  <c r="C72" i="5" s="1"/>
  <c r="B73" i="5" s="1"/>
  <c r="C73" i="5" s="1"/>
  <c r="B74" i="5" s="1"/>
  <c r="C74" i="5" s="1"/>
  <c r="B75" i="5" s="1"/>
  <c r="C75" i="5" s="1"/>
  <c r="B76" i="5" s="1"/>
  <c r="C76" i="5" s="1"/>
  <c r="B77" i="5" s="1"/>
  <c r="C77" i="5" s="1"/>
  <c r="B78" i="5" s="1"/>
  <c r="C78" i="5" s="1"/>
  <c r="B79" i="5" s="1"/>
  <c r="C79" i="5" s="1"/>
  <c r="B80" i="5" s="1"/>
  <c r="C80" i="5" s="1"/>
  <c r="B81" i="5" s="1"/>
  <c r="C81" i="5" s="1"/>
  <c r="B82" i="5" s="1"/>
  <c r="C82" i="5" s="1"/>
  <c r="B83" i="5" s="1"/>
  <c r="C83" i="5" s="1"/>
  <c r="B84" i="5" s="1"/>
  <c r="C84" i="5" s="1"/>
  <c r="B85" i="5" s="1"/>
  <c r="C85" i="5" s="1"/>
  <c r="B86" i="5" s="1"/>
  <c r="C86" i="5" s="1"/>
  <c r="B87" i="5" s="1"/>
  <c r="C87" i="5" s="1"/>
  <c r="B88" i="5" s="1"/>
  <c r="C88" i="5" s="1"/>
  <c r="B89" i="5" s="1"/>
  <c r="C89" i="5" s="1"/>
  <c r="B90" i="5" s="1"/>
  <c r="C90" i="5" s="1"/>
  <c r="B91" i="5" s="1"/>
  <c r="C91" i="5" s="1"/>
  <c r="B92" i="5" s="1"/>
  <c r="C92" i="5" s="1"/>
  <c r="B93" i="5" s="1"/>
  <c r="C93" i="5" s="1"/>
  <c r="B94" i="5" s="1"/>
  <c r="C94" i="5" s="1"/>
  <c r="B95" i="5" s="1"/>
  <c r="C95" i="5" s="1"/>
  <c r="B96" i="5" s="1"/>
  <c r="C96" i="5" s="1"/>
  <c r="B97" i="5" s="1"/>
  <c r="C97" i="5" s="1"/>
  <c r="B98" i="5" s="1"/>
  <c r="C98" i="5" s="1"/>
  <c r="B99" i="5" s="1"/>
  <c r="C99" i="5" s="1"/>
  <c r="B100" i="5" s="1"/>
  <c r="C100" i="5" s="1"/>
  <c r="B101" i="5" s="1"/>
  <c r="C101" i="5" s="1"/>
  <c r="B102" i="5" s="1"/>
  <c r="C102" i="5" s="1"/>
  <c r="B103" i="5" s="1"/>
  <c r="C103" i="5" s="1"/>
  <c r="B104" i="5" s="1"/>
  <c r="C104" i="5" s="1"/>
  <c r="B105" i="5" s="1"/>
  <c r="C105" i="5" s="1"/>
  <c r="B106" i="5" s="1"/>
  <c r="C106" i="5" s="1"/>
  <c r="B107" i="5" s="1"/>
  <c r="C107" i="5" s="1"/>
  <c r="B108" i="5" s="1"/>
  <c r="C108" i="5" s="1"/>
  <c r="B109" i="5" s="1"/>
  <c r="C109" i="5" s="1"/>
  <c r="B110" i="5" s="1"/>
  <c r="C110" i="5" s="1"/>
  <c r="B111" i="5" s="1"/>
  <c r="C111" i="5" s="1"/>
  <c r="B112" i="5" s="1"/>
  <c r="C112" i="5" s="1"/>
  <c r="B113" i="5" s="1"/>
  <c r="C113" i="5" s="1"/>
  <c r="B114" i="5" s="1"/>
  <c r="C114" i="5" s="1"/>
  <c r="B115" i="5" s="1"/>
  <c r="C115" i="5" s="1"/>
  <c r="B116" i="5" s="1"/>
  <c r="C116" i="5" s="1"/>
  <c r="B117" i="5" s="1"/>
  <c r="C117" i="5" s="1"/>
  <c r="B118" i="5" s="1"/>
  <c r="C118" i="5" s="1"/>
  <c r="B119" i="5" s="1"/>
  <c r="C119" i="5" s="1"/>
  <c r="B120" i="5" s="1"/>
  <c r="C120" i="5" s="1"/>
  <c r="B121" i="5" s="1"/>
  <c r="C121" i="5" s="1"/>
  <c r="B122" i="5" s="1"/>
  <c r="C122" i="5" s="1"/>
  <c r="B123" i="5" s="1"/>
  <c r="C123" i="5" s="1"/>
  <c r="B124" i="5" s="1"/>
  <c r="C124" i="5" s="1"/>
  <c r="B125" i="5" s="1"/>
  <c r="C125" i="5" s="1"/>
  <c r="B126" i="5" s="1"/>
  <c r="C126" i="5" s="1"/>
  <c r="B127" i="5" s="1"/>
  <c r="C127" i="5" s="1"/>
  <c r="B128" i="5" s="1"/>
  <c r="C128" i="5" s="1"/>
  <c r="B129" i="5" s="1"/>
  <c r="C129" i="5" s="1"/>
  <c r="B130" i="5" s="1"/>
  <c r="C130" i="5" s="1"/>
  <c r="B131" i="5" s="1"/>
  <c r="C131" i="5" s="1"/>
  <c r="B132" i="5" s="1"/>
  <c r="C132" i="5" s="1"/>
  <c r="B133" i="5" s="1"/>
  <c r="C133" i="5" s="1"/>
  <c r="B134" i="5" s="1"/>
  <c r="C134" i="5" s="1"/>
  <c r="B135" i="5" s="1"/>
  <c r="C135" i="5" s="1"/>
  <c r="B136" i="5" s="1"/>
  <c r="C136" i="5" s="1"/>
  <c r="B137" i="5" s="1"/>
  <c r="C137" i="5" s="1"/>
  <c r="B138" i="5" s="1"/>
  <c r="C138" i="5" s="1"/>
  <c r="B139" i="5" s="1"/>
  <c r="C139" i="5" s="1"/>
  <c r="B140" i="5" s="1"/>
  <c r="C140" i="5" s="1"/>
  <c r="B141" i="5" s="1"/>
  <c r="C141" i="5" s="1"/>
  <c r="B142" i="5" s="1"/>
  <c r="C142" i="5" s="1"/>
  <c r="B143" i="5" s="1"/>
  <c r="C143" i="5" s="1"/>
  <c r="B144" i="5" s="1"/>
  <c r="C144" i="5" s="1"/>
  <c r="B145" i="5" s="1"/>
  <c r="C145" i="5" s="1"/>
  <c r="B146" i="5" s="1"/>
  <c r="C146" i="5" s="1"/>
  <c r="B147" i="5" s="1"/>
  <c r="C147" i="5" s="1"/>
  <c r="B148" i="5" s="1"/>
  <c r="C148" i="5" s="1"/>
  <c r="B149" i="5" s="1"/>
  <c r="C149" i="5" s="1"/>
  <c r="B150" i="5" s="1"/>
  <c r="C150" i="5" s="1"/>
  <c r="B151" i="5" s="1"/>
  <c r="C151" i="5" s="1"/>
  <c r="B152" i="5" s="1"/>
  <c r="C152" i="5" s="1"/>
  <c r="B153" i="5" s="1"/>
  <c r="C153" i="5" s="1"/>
  <c r="B154" i="5" s="1"/>
  <c r="C154" i="5" s="1"/>
  <c r="B155" i="5" s="1"/>
  <c r="C155" i="5" s="1"/>
  <c r="B156" i="5" s="1"/>
  <c r="C156" i="5" s="1"/>
  <c r="B157" i="5" s="1"/>
  <c r="C157" i="5" s="1"/>
  <c r="B158" i="5" s="1"/>
  <c r="C158" i="5" s="1"/>
  <c r="B159" i="5" s="1"/>
  <c r="C159" i="5" s="1"/>
  <c r="B160" i="5" s="1"/>
  <c r="C160" i="5" s="1"/>
  <c r="B161" i="5" s="1"/>
  <c r="C161" i="5" s="1"/>
  <c r="B162" i="5" s="1"/>
  <c r="C162" i="5" s="1"/>
  <c r="B163" i="5" s="1"/>
  <c r="C163" i="5" s="1"/>
  <c r="B164" i="5" s="1"/>
  <c r="C164" i="5" s="1"/>
  <c r="B165" i="5" s="1"/>
  <c r="C165" i="5" s="1"/>
  <c r="B166" i="5" s="1"/>
  <c r="C166" i="5" s="1"/>
  <c r="B167" i="5" s="1"/>
  <c r="C167" i="5" s="1"/>
  <c r="B168" i="5" s="1"/>
  <c r="C168" i="5" s="1"/>
  <c r="B169" i="5" s="1"/>
  <c r="C169" i="5" s="1"/>
  <c r="B170" i="5" s="1"/>
  <c r="C170" i="5" s="1"/>
  <c r="B171" i="5" s="1"/>
  <c r="C171" i="5" s="1"/>
  <c r="B172" i="5" s="1"/>
  <c r="C172" i="5" s="1"/>
  <c r="B173" i="5" s="1"/>
  <c r="C173" i="5" s="1"/>
  <c r="B174" i="5" s="1"/>
  <c r="C174" i="5" s="1"/>
  <c r="B175" i="5" s="1"/>
  <c r="C175" i="5" s="1"/>
  <c r="B176" i="5" s="1"/>
  <c r="C176" i="5" s="1"/>
  <c r="B177" i="5" s="1"/>
  <c r="C177" i="5" s="1"/>
  <c r="B178" i="5" s="1"/>
  <c r="C178" i="5" s="1"/>
  <c r="B179" i="5" s="1"/>
  <c r="C179" i="5" s="1"/>
  <c r="B180" i="5" s="1"/>
  <c r="C180" i="5" s="1"/>
  <c r="B181" i="5" s="1"/>
  <c r="C181" i="5" s="1"/>
  <c r="B182" i="5" s="1"/>
  <c r="C182" i="5" s="1"/>
  <c r="B183" i="5" s="1"/>
  <c r="C183" i="5" s="1"/>
  <c r="B184" i="5" s="1"/>
  <c r="C184" i="5" s="1"/>
  <c r="B185" i="5" s="1"/>
  <c r="C185" i="5" s="1"/>
  <c r="B186" i="5" s="1"/>
  <c r="C186" i="5" s="1"/>
  <c r="B187" i="5" s="1"/>
  <c r="C187" i="5" s="1"/>
  <c r="B188" i="5" s="1"/>
  <c r="C188" i="5" s="1"/>
  <c r="B189" i="5" s="1"/>
  <c r="C189" i="5" s="1"/>
  <c r="B190" i="5" s="1"/>
  <c r="C190" i="5" s="1"/>
  <c r="B191" i="5" s="1"/>
  <c r="C191" i="5" s="1"/>
  <c r="B192" i="5" s="1"/>
  <c r="C192" i="5" s="1"/>
  <c r="B193" i="5" s="1"/>
  <c r="C193" i="5" s="1"/>
  <c r="B194" i="5" s="1"/>
  <c r="C194" i="5" s="1"/>
  <c r="B195" i="5" s="1"/>
  <c r="C195" i="5" s="1"/>
  <c r="B196" i="5" s="1"/>
  <c r="C196" i="5" s="1"/>
  <c r="B197" i="5" s="1"/>
  <c r="C197" i="5" s="1"/>
  <c r="B198" i="5" s="1"/>
  <c r="C198" i="5" s="1"/>
  <c r="B199" i="5" s="1"/>
  <c r="C199" i="5" s="1"/>
  <c r="B200" i="5" s="1"/>
  <c r="C200" i="5" s="1"/>
  <c r="B201" i="5" s="1"/>
  <c r="C201" i="5" s="1"/>
  <c r="B202" i="5" s="1"/>
  <c r="C202" i="5" s="1"/>
  <c r="B203" i="5" s="1"/>
  <c r="C203" i="5" s="1"/>
  <c r="B204" i="5" s="1"/>
  <c r="C204" i="5" s="1"/>
  <c r="B205" i="5" s="1"/>
  <c r="C205" i="5" s="1"/>
  <c r="B206" i="5" s="1"/>
  <c r="C206" i="5" s="1"/>
  <c r="B207" i="5" s="1"/>
  <c r="C207" i="5" s="1"/>
  <c r="B208" i="5" s="1"/>
  <c r="C208" i="5" s="1"/>
  <c r="B209" i="5" s="1"/>
  <c r="C209" i="5" s="1"/>
  <c r="B210" i="5" s="1"/>
  <c r="C210" i="5" s="1"/>
  <c r="B211" i="5" s="1"/>
  <c r="C211" i="5" s="1"/>
  <c r="B212" i="5" s="1"/>
  <c r="C212" i="5" s="1"/>
  <c r="B213" i="5" s="1"/>
  <c r="C213" i="5" s="1"/>
  <c r="B214" i="5" s="1"/>
  <c r="C214" i="5" s="1"/>
  <c r="B215" i="5" s="1"/>
  <c r="C215" i="5" s="1"/>
  <c r="B216" i="5" s="1"/>
  <c r="C216" i="5" s="1"/>
  <c r="B217" i="5" s="1"/>
  <c r="C217" i="5" s="1"/>
  <c r="B218" i="5" s="1"/>
  <c r="C218" i="5" s="1"/>
  <c r="B219" i="5" s="1"/>
  <c r="C219" i="5" s="1"/>
  <c r="B220" i="5" s="1"/>
  <c r="C220" i="5" s="1"/>
  <c r="B221" i="5" s="1"/>
  <c r="C221" i="5" s="1"/>
  <c r="B222" i="5" s="1"/>
  <c r="C222" i="5" s="1"/>
  <c r="B223" i="5" s="1"/>
  <c r="C223" i="5" s="1"/>
  <c r="B224" i="5" s="1"/>
  <c r="C224" i="5" s="1"/>
  <c r="B225" i="5" s="1"/>
  <c r="C225" i="5" s="1"/>
  <c r="B226" i="5" s="1"/>
  <c r="C226" i="5" s="1"/>
  <c r="B227" i="5" s="1"/>
  <c r="C227" i="5" s="1"/>
  <c r="B228" i="5" s="1"/>
  <c r="C228" i="5" s="1"/>
  <c r="B229" i="5" s="1"/>
  <c r="C229" i="5" s="1"/>
  <c r="B230" i="5" s="1"/>
  <c r="C230" i="5" s="1"/>
  <c r="B231" i="5" s="1"/>
  <c r="C231" i="5" s="1"/>
  <c r="B232" i="5" s="1"/>
  <c r="C232" i="5" s="1"/>
  <c r="B233" i="5" s="1"/>
  <c r="C233" i="5" s="1"/>
  <c r="B234" i="5" s="1"/>
  <c r="C234" i="5" s="1"/>
  <c r="B235" i="5" s="1"/>
  <c r="C235" i="5" s="1"/>
  <c r="B236" i="5" s="1"/>
  <c r="C236" i="5" s="1"/>
  <c r="B237" i="5" s="1"/>
  <c r="C237" i="5" s="1"/>
  <c r="B238" i="5" s="1"/>
  <c r="C238" i="5" s="1"/>
  <c r="B239" i="5" s="1"/>
  <c r="C239" i="5" s="1"/>
  <c r="B240" i="5" s="1"/>
  <c r="C240" i="5" s="1"/>
  <c r="B241" i="5" s="1"/>
  <c r="C241" i="5" s="1"/>
  <c r="B242" i="5" s="1"/>
  <c r="C242" i="5" s="1"/>
  <c r="B243" i="5" s="1"/>
  <c r="C243" i="5" s="1"/>
  <c r="B244" i="5" s="1"/>
  <c r="C244" i="5" s="1"/>
  <c r="B245" i="5" s="1"/>
  <c r="C245" i="5" s="1"/>
  <c r="B246" i="5" s="1"/>
  <c r="C246" i="5" s="1"/>
  <c r="B247" i="5" s="1"/>
  <c r="C247" i="5" s="1"/>
  <c r="B248" i="5" s="1"/>
  <c r="C248" i="5" s="1"/>
  <c r="B249" i="5" s="1"/>
  <c r="C249" i="5" s="1"/>
  <c r="B250" i="5" s="1"/>
  <c r="C250" i="5" s="1"/>
  <c r="B251" i="5" s="1"/>
  <c r="C251" i="5" s="1"/>
  <c r="B252" i="5" s="1"/>
  <c r="C252" i="5" s="1"/>
  <c r="B253" i="5" s="1"/>
  <c r="C253" i="5" s="1"/>
  <c r="B254" i="5" s="1"/>
  <c r="C254" i="5" s="1"/>
  <c r="B255" i="5" s="1"/>
  <c r="C255" i="5" s="1"/>
  <c r="B256" i="5" s="1"/>
  <c r="C256" i="5" s="1"/>
  <c r="B257" i="5" s="1"/>
  <c r="C257" i="5" s="1"/>
  <c r="B258" i="5" s="1"/>
  <c r="C258" i="5" s="1"/>
  <c r="B259" i="5" s="1"/>
  <c r="C259" i="5" s="1"/>
  <c r="B260" i="5" s="1"/>
  <c r="C260" i="5" s="1"/>
  <c r="B261" i="5" s="1"/>
  <c r="C261" i="5" s="1"/>
  <c r="B262" i="5" s="1"/>
  <c r="C262" i="5" s="1"/>
  <c r="B263" i="5" s="1"/>
  <c r="C263" i="5" s="1"/>
  <c r="B264" i="5" s="1"/>
  <c r="C264" i="5" s="1"/>
  <c r="B265" i="5" s="1"/>
  <c r="C265" i="5" s="1"/>
  <c r="B266" i="5" s="1"/>
  <c r="C266" i="5" s="1"/>
  <c r="B267" i="5" s="1"/>
  <c r="C267" i="5" s="1"/>
  <c r="B268" i="5" s="1"/>
  <c r="C268" i="5" s="1"/>
  <c r="B269" i="5" s="1"/>
  <c r="C269" i="5" s="1"/>
  <c r="B270" i="5" s="1"/>
  <c r="C270" i="5" s="1"/>
  <c r="B271" i="5" s="1"/>
  <c r="C271" i="5" s="1"/>
  <c r="B272" i="5" s="1"/>
  <c r="C272" i="5" s="1"/>
  <c r="B273" i="5" s="1"/>
  <c r="C273" i="5" s="1"/>
  <c r="B274" i="5" s="1"/>
  <c r="C274" i="5" s="1"/>
  <c r="B275" i="5" s="1"/>
  <c r="C275" i="5" s="1"/>
  <c r="B276" i="5" s="1"/>
  <c r="C276" i="5" s="1"/>
  <c r="B277" i="5" s="1"/>
  <c r="C277" i="5" s="1"/>
  <c r="B278" i="5" s="1"/>
  <c r="C278" i="5" s="1"/>
  <c r="B279" i="5" s="1"/>
  <c r="C279" i="5" s="1"/>
  <c r="B280" i="5" s="1"/>
  <c r="C280" i="5" s="1"/>
  <c r="B281" i="5" s="1"/>
  <c r="C281" i="5" s="1"/>
  <c r="B282" i="5" s="1"/>
  <c r="C282" i="5" s="1"/>
  <c r="B283" i="5" s="1"/>
  <c r="C283" i="5" s="1"/>
  <c r="B284" i="5" s="1"/>
  <c r="C284" i="5" s="1"/>
  <c r="B285" i="5" s="1"/>
  <c r="C285" i="5" s="1"/>
  <c r="B286" i="5" s="1"/>
  <c r="C286" i="5" s="1"/>
  <c r="B287" i="5" s="1"/>
  <c r="C287" i="5" s="1"/>
  <c r="B288" i="5" s="1"/>
  <c r="C288" i="5" s="1"/>
  <c r="B289" i="5" s="1"/>
  <c r="C289" i="5" s="1"/>
  <c r="B290" i="5" s="1"/>
  <c r="C290" i="5" s="1"/>
  <c r="B291" i="5" s="1"/>
  <c r="C291" i="5" s="1"/>
  <c r="B292" i="5" s="1"/>
  <c r="C292" i="5" s="1"/>
  <c r="B293" i="5" s="1"/>
  <c r="C293" i="5" s="1"/>
  <c r="B294" i="5" s="1"/>
  <c r="C294" i="5" s="1"/>
  <c r="B295" i="5" s="1"/>
  <c r="C295" i="5" s="1"/>
  <c r="B296" i="5" s="1"/>
  <c r="C296" i="5" s="1"/>
  <c r="B297" i="5" s="1"/>
  <c r="C297" i="5" s="1"/>
  <c r="B298" i="5" s="1"/>
  <c r="C298" i="5" s="1"/>
  <c r="B299" i="5" s="1"/>
  <c r="C299" i="5" s="1"/>
  <c r="B300" i="5" s="1"/>
  <c r="C300" i="5" s="1"/>
  <c r="B301" i="5" s="1"/>
  <c r="C301" i="5" s="1"/>
  <c r="B302" i="5" s="1"/>
  <c r="C302" i="5" s="1"/>
  <c r="B303" i="5" s="1"/>
  <c r="C303" i="5" s="1"/>
  <c r="B304" i="5" s="1"/>
  <c r="C304" i="5" s="1"/>
  <c r="B305" i="5" s="1"/>
  <c r="C305" i="5" s="1"/>
  <c r="B306" i="5" s="1"/>
  <c r="C306" i="5" s="1"/>
  <c r="B307" i="5" s="1"/>
  <c r="C307" i="5" s="1"/>
  <c r="B308" i="5" s="1"/>
  <c r="C308" i="5" s="1"/>
  <c r="B309" i="5" s="1"/>
  <c r="C309" i="5" s="1"/>
  <c r="B310" i="5" s="1"/>
  <c r="C310" i="5" s="1"/>
  <c r="B311" i="5" s="1"/>
  <c r="C311" i="5" s="1"/>
  <c r="B312" i="5" s="1"/>
  <c r="C312" i="5" s="1"/>
  <c r="B313" i="5" s="1"/>
  <c r="C313" i="5" s="1"/>
  <c r="B314" i="5" s="1"/>
  <c r="C314" i="5" s="1"/>
  <c r="B315" i="5" s="1"/>
  <c r="C315" i="5" s="1"/>
  <c r="B316" i="5" s="1"/>
  <c r="C316" i="5" s="1"/>
  <c r="B317" i="5" s="1"/>
  <c r="C317" i="5" s="1"/>
  <c r="B318" i="5" s="1"/>
  <c r="C318" i="5" s="1"/>
  <c r="B319" i="5" s="1"/>
  <c r="C319" i="5" s="1"/>
  <c r="B320" i="5" s="1"/>
  <c r="C320" i="5" s="1"/>
  <c r="B321" i="5" s="1"/>
  <c r="C321" i="5" s="1"/>
  <c r="B322" i="5" s="1"/>
  <c r="C322" i="5" s="1"/>
  <c r="B323" i="5" s="1"/>
  <c r="C323" i="5" s="1"/>
  <c r="B324" i="5" s="1"/>
  <c r="C324" i="5" s="1"/>
  <c r="B325" i="5" s="1"/>
  <c r="C325" i="5" s="1"/>
  <c r="B326" i="5" s="1"/>
  <c r="C326" i="5" s="1"/>
  <c r="B327" i="5" s="1"/>
  <c r="C327" i="5" s="1"/>
  <c r="B328" i="5" s="1"/>
  <c r="C328" i="5" s="1"/>
  <c r="B329" i="5" s="1"/>
  <c r="C329" i="5" s="1"/>
  <c r="B330" i="5" s="1"/>
  <c r="C330" i="5" s="1"/>
  <c r="B331" i="5" s="1"/>
  <c r="C331" i="5" s="1"/>
  <c r="B332" i="5" s="1"/>
  <c r="C332" i="5" s="1"/>
  <c r="B333" i="5" s="1"/>
  <c r="C333" i="5" s="1"/>
  <c r="B334" i="5" s="1"/>
  <c r="C334" i="5" s="1"/>
  <c r="B335" i="5" s="1"/>
  <c r="C335" i="5" s="1"/>
  <c r="B336" i="5" s="1"/>
  <c r="C336" i="5" s="1"/>
  <c r="B337" i="5" s="1"/>
  <c r="C337" i="5" s="1"/>
  <c r="B338" i="5" s="1"/>
  <c r="C338" i="5" s="1"/>
  <c r="B339" i="5" s="1"/>
  <c r="C339" i="5" s="1"/>
  <c r="B340" i="5" s="1"/>
  <c r="C340" i="5" s="1"/>
  <c r="B341" i="5" s="1"/>
  <c r="C341" i="5" s="1"/>
  <c r="B342" i="5" s="1"/>
  <c r="C342" i="5" s="1"/>
  <c r="B343" i="5" s="1"/>
  <c r="C343" i="5" s="1"/>
  <c r="B344" i="5" s="1"/>
  <c r="C344" i="5" s="1"/>
  <c r="B345" i="5" s="1"/>
  <c r="C345" i="5" s="1"/>
  <c r="B346" i="5" s="1"/>
  <c r="C346" i="5" s="1"/>
  <c r="B347" i="5" s="1"/>
  <c r="C347" i="5" s="1"/>
  <c r="B348" i="5" s="1"/>
  <c r="C348" i="5" s="1"/>
  <c r="B349" i="5" s="1"/>
  <c r="C349" i="5" s="1"/>
  <c r="B350" i="5" s="1"/>
  <c r="C350" i="5" s="1"/>
  <c r="B351" i="5" s="1"/>
  <c r="C351" i="5" s="1"/>
  <c r="B352" i="5" s="1"/>
  <c r="C352" i="5" s="1"/>
  <c r="B353" i="5" s="1"/>
  <c r="C353" i="5" s="1"/>
  <c r="B354" i="5" s="1"/>
  <c r="C354" i="5" s="1"/>
  <c r="B355" i="5" s="1"/>
  <c r="C355" i="5" s="1"/>
  <c r="B356" i="5" s="1"/>
  <c r="C356" i="5" s="1"/>
  <c r="B357" i="5" s="1"/>
  <c r="C357" i="5" s="1"/>
  <c r="B358" i="5" s="1"/>
  <c r="C358" i="5" s="1"/>
  <c r="B359" i="5" s="1"/>
  <c r="C359" i="5" s="1"/>
  <c r="B360" i="5" s="1"/>
  <c r="C360" i="5" s="1"/>
  <c r="B361" i="5" s="1"/>
  <c r="C361" i="5" s="1"/>
  <c r="B362" i="5" s="1"/>
  <c r="C362" i="5" s="1"/>
  <c r="B363" i="5" s="1"/>
  <c r="C363" i="5" s="1"/>
  <c r="B364" i="5" s="1"/>
  <c r="C364" i="5" s="1"/>
  <c r="B365" i="5" s="1"/>
  <c r="C365" i="5" s="1"/>
  <c r="B366" i="5" s="1"/>
  <c r="C366" i="5" s="1"/>
  <c r="B367" i="5" s="1"/>
  <c r="C367" i="5" s="1"/>
  <c r="B368" i="5" s="1"/>
  <c r="C368" i="5" s="1"/>
  <c r="B369" i="5" s="1"/>
  <c r="C369" i="5" s="1"/>
  <c r="B370" i="5" s="1"/>
  <c r="C370" i="5" s="1"/>
  <c r="B371" i="5" s="1"/>
  <c r="C371" i="5" s="1"/>
  <c r="B372" i="5" s="1"/>
  <c r="C372" i="5" s="1"/>
  <c r="B373" i="5" s="1"/>
  <c r="C373" i="5" s="1"/>
  <c r="B374" i="5" s="1"/>
  <c r="C374" i="5" s="1"/>
  <c r="B375" i="5" s="1"/>
  <c r="C375" i="5" s="1"/>
  <c r="B376" i="5" s="1"/>
  <c r="C376" i="5" s="1"/>
  <c r="B377" i="5" s="1"/>
  <c r="C377" i="5" s="1"/>
  <c r="B378" i="5" s="1"/>
  <c r="C378" i="5" s="1"/>
  <c r="B379" i="5" s="1"/>
  <c r="C379" i="5" s="1"/>
  <c r="B380" i="5" s="1"/>
  <c r="C380" i="5" s="1"/>
  <c r="B381" i="5" s="1"/>
  <c r="C381" i="5" s="1"/>
  <c r="B382" i="5" s="1"/>
  <c r="C382" i="5" s="1"/>
  <c r="B383" i="5" s="1"/>
  <c r="C383" i="5" s="1"/>
  <c r="B384" i="5" s="1"/>
  <c r="C384" i="5" s="1"/>
  <c r="B385" i="5" s="1"/>
  <c r="C385" i="5" s="1"/>
  <c r="B386" i="5" s="1"/>
  <c r="C386" i="5" s="1"/>
  <c r="B387" i="5" s="1"/>
  <c r="C387" i="5" s="1"/>
  <c r="B388" i="5" s="1"/>
  <c r="C388" i="5" s="1"/>
  <c r="B389" i="5" s="1"/>
  <c r="C389" i="5" s="1"/>
  <c r="B390" i="5" s="1"/>
  <c r="C390" i="5" s="1"/>
  <c r="B391" i="5" s="1"/>
  <c r="C391" i="5" s="1"/>
  <c r="B392" i="5" s="1"/>
  <c r="C392" i="5" s="1"/>
  <c r="B393" i="5" s="1"/>
  <c r="C393" i="5" s="1"/>
  <c r="B394" i="5" s="1"/>
  <c r="C394" i="5" s="1"/>
  <c r="B395" i="5" s="1"/>
  <c r="C395" i="5" s="1"/>
  <c r="B396" i="5" s="1"/>
  <c r="C396" i="5" s="1"/>
  <c r="B397" i="5" s="1"/>
  <c r="C397" i="5" s="1"/>
  <c r="B398" i="5" s="1"/>
  <c r="C398" i="5" s="1"/>
  <c r="B399" i="5" s="1"/>
  <c r="C399" i="5" s="1"/>
  <c r="B400" i="5" s="1"/>
  <c r="C400" i="5" s="1"/>
  <c r="B401" i="5" s="1"/>
  <c r="C401" i="5" s="1"/>
  <c r="B402" i="5" s="1"/>
  <c r="C402" i="5" s="1"/>
  <c r="B403" i="5" s="1"/>
  <c r="C403" i="5" s="1"/>
  <c r="B404" i="5" s="1"/>
  <c r="C404" i="5" s="1"/>
  <c r="B405" i="5" s="1"/>
  <c r="C405" i="5" s="1"/>
  <c r="B406" i="5" s="1"/>
  <c r="C406" i="5" s="1"/>
  <c r="B407" i="5" s="1"/>
  <c r="C407" i="5" s="1"/>
  <c r="B408" i="5" s="1"/>
  <c r="C408" i="5" s="1"/>
  <c r="B409" i="5" s="1"/>
  <c r="C409" i="5" s="1"/>
  <c r="B410" i="5" s="1"/>
  <c r="C410" i="5" s="1"/>
  <c r="B411" i="5" s="1"/>
  <c r="C411" i="5" s="1"/>
  <c r="B412" i="5" s="1"/>
  <c r="C412" i="5" s="1"/>
  <c r="B413" i="5" s="1"/>
  <c r="C413" i="5" s="1"/>
  <c r="B414" i="5" s="1"/>
  <c r="C414" i="5" s="1"/>
  <c r="B415" i="5" s="1"/>
  <c r="C415" i="5" s="1"/>
  <c r="B416" i="5" s="1"/>
  <c r="C416" i="5" s="1"/>
  <c r="B417" i="5" s="1"/>
  <c r="C417" i="5" s="1"/>
  <c r="B418" i="5" s="1"/>
  <c r="C418" i="5" s="1"/>
  <c r="B419" i="5" s="1"/>
  <c r="C419" i="5" s="1"/>
  <c r="B420" i="5" s="1"/>
  <c r="C420" i="5" s="1"/>
  <c r="B421" i="5" s="1"/>
  <c r="C421" i="5" s="1"/>
  <c r="B422" i="5" s="1"/>
  <c r="C422" i="5" s="1"/>
  <c r="B423" i="5" s="1"/>
  <c r="C423" i="5" s="1"/>
  <c r="B424" i="5" s="1"/>
  <c r="C424" i="5" s="1"/>
  <c r="B425" i="5" s="1"/>
  <c r="C425" i="5" s="1"/>
  <c r="B426" i="5" s="1"/>
  <c r="C426" i="5" s="1"/>
  <c r="B427" i="5" s="1"/>
  <c r="C427" i="5" s="1"/>
  <c r="B428" i="5" s="1"/>
  <c r="C428" i="5" s="1"/>
  <c r="B429" i="5" s="1"/>
  <c r="C429" i="5" s="1"/>
  <c r="B430" i="5" s="1"/>
  <c r="C430" i="5" s="1"/>
  <c r="B431" i="5" s="1"/>
  <c r="C431" i="5" s="1"/>
  <c r="B432" i="5" s="1"/>
  <c r="C432" i="5" s="1"/>
  <c r="B433" i="5" s="1"/>
  <c r="C433" i="5" s="1"/>
  <c r="B434" i="5" s="1"/>
  <c r="C434" i="5" s="1"/>
  <c r="B435" i="5" s="1"/>
  <c r="C435" i="5" s="1"/>
  <c r="B436" i="5" s="1"/>
  <c r="C436" i="5" s="1"/>
  <c r="B437" i="5" s="1"/>
  <c r="C437" i="5" s="1"/>
  <c r="B438" i="5" s="1"/>
  <c r="C438" i="5" s="1"/>
  <c r="B439" i="5" s="1"/>
  <c r="C439" i="5" s="1"/>
  <c r="B440" i="5" s="1"/>
  <c r="C440" i="5" s="1"/>
  <c r="B441" i="5" s="1"/>
  <c r="C441" i="5" s="1"/>
  <c r="B442" i="5" s="1"/>
  <c r="C442" i="5" s="1"/>
  <c r="B443" i="5" s="1"/>
  <c r="C443" i="5" s="1"/>
  <c r="B444" i="5" s="1"/>
  <c r="C444" i="5" s="1"/>
  <c r="B445" i="5" s="1"/>
  <c r="C445" i="5" s="1"/>
  <c r="B446" i="5" s="1"/>
  <c r="C446" i="5" s="1"/>
  <c r="B447" i="5" s="1"/>
  <c r="C447" i="5" s="1"/>
  <c r="B448" i="5" s="1"/>
  <c r="C448" i="5" s="1"/>
  <c r="B449" i="5" s="1"/>
  <c r="C449" i="5" s="1"/>
  <c r="B450" i="5" s="1"/>
  <c r="C450" i="5" s="1"/>
  <c r="B451" i="5" s="1"/>
  <c r="C451" i="5" s="1"/>
  <c r="B452" i="5" s="1"/>
  <c r="C452" i="5" s="1"/>
  <c r="B453" i="5" s="1"/>
  <c r="C453" i="5" s="1"/>
  <c r="B454" i="5" s="1"/>
  <c r="C454" i="5" s="1"/>
  <c r="B455" i="5" s="1"/>
  <c r="C455" i="5" s="1"/>
  <c r="B456" i="5" s="1"/>
  <c r="C456" i="5" s="1"/>
  <c r="B457" i="5" s="1"/>
  <c r="C457" i="5" s="1"/>
  <c r="B458" i="5" s="1"/>
  <c r="C458" i="5" s="1"/>
  <c r="B459" i="5" s="1"/>
  <c r="C459" i="5" s="1"/>
  <c r="B460" i="5" s="1"/>
  <c r="C460" i="5" s="1"/>
  <c r="B461" i="5" s="1"/>
  <c r="C461" i="5" s="1"/>
  <c r="B462" i="5" s="1"/>
  <c r="C462" i="5" s="1"/>
  <c r="B463" i="5" s="1"/>
  <c r="C463" i="5" s="1"/>
  <c r="B464" i="5" s="1"/>
  <c r="C464" i="5" s="1"/>
  <c r="B465" i="5" s="1"/>
  <c r="C465" i="5" s="1"/>
  <c r="B466" i="5" s="1"/>
  <c r="C466" i="5" s="1"/>
  <c r="B467" i="5" s="1"/>
  <c r="C467" i="5" s="1"/>
  <c r="B468" i="5" s="1"/>
  <c r="C468" i="5" s="1"/>
  <c r="B469" i="5" s="1"/>
  <c r="C469" i="5" s="1"/>
  <c r="B470" i="5" s="1"/>
  <c r="C470" i="5" s="1"/>
  <c r="B471" i="5" s="1"/>
  <c r="C471" i="5" s="1"/>
  <c r="B472" i="5" s="1"/>
  <c r="C472" i="5" s="1"/>
  <c r="B473" i="5" s="1"/>
  <c r="C473" i="5" s="1"/>
  <c r="B474" i="5" s="1"/>
  <c r="C474" i="5" s="1"/>
  <c r="B475" i="5" s="1"/>
  <c r="C475" i="5" s="1"/>
  <c r="B476" i="5" s="1"/>
  <c r="C476" i="5" s="1"/>
  <c r="B477" i="5" s="1"/>
  <c r="C477" i="5" s="1"/>
  <c r="B478" i="5" s="1"/>
  <c r="C478" i="5" s="1"/>
  <c r="B479" i="5" s="1"/>
  <c r="C479" i="5" s="1"/>
  <c r="B480" i="5" s="1"/>
  <c r="C480" i="5" s="1"/>
  <c r="B481" i="5" s="1"/>
  <c r="C481" i="5" s="1"/>
  <c r="B482" i="5" s="1"/>
  <c r="C482" i="5" s="1"/>
  <c r="B483" i="5" s="1"/>
  <c r="C483" i="5" s="1"/>
  <c r="B484" i="5" s="1"/>
  <c r="C484" i="5" s="1"/>
  <c r="B485" i="5" s="1"/>
  <c r="C485" i="5" s="1"/>
  <c r="B486" i="5" s="1"/>
  <c r="C486" i="5" s="1"/>
  <c r="B487" i="5" s="1"/>
  <c r="C487" i="5" s="1"/>
  <c r="B488" i="5" s="1"/>
  <c r="C488" i="5" s="1"/>
  <c r="B489" i="5" s="1"/>
  <c r="C489" i="5" s="1"/>
  <c r="B490" i="5" s="1"/>
  <c r="C490" i="5" s="1"/>
  <c r="B491" i="5" s="1"/>
  <c r="C491" i="5" s="1"/>
  <c r="B492" i="5" s="1"/>
  <c r="C492" i="5" s="1"/>
  <c r="B493" i="5" s="1"/>
  <c r="C493" i="5" s="1"/>
  <c r="B494" i="5" s="1"/>
  <c r="C494" i="5" s="1"/>
  <c r="B495" i="5" s="1"/>
  <c r="C495" i="5" s="1"/>
  <c r="B496" i="5" s="1"/>
  <c r="C496" i="5" s="1"/>
  <c r="B497" i="5" s="1"/>
  <c r="C497" i="5" s="1"/>
  <c r="B498" i="5" s="1"/>
  <c r="C498" i="5" s="1"/>
  <c r="B499" i="5" s="1"/>
  <c r="C499" i="5" s="1"/>
  <c r="B500" i="5" s="1"/>
  <c r="C500" i="5" s="1"/>
  <c r="B501" i="5" s="1"/>
  <c r="C501" i="5" s="1"/>
  <c r="B502" i="5" s="1"/>
  <c r="C502" i="5" s="1"/>
  <c r="B503" i="5" s="1"/>
  <c r="C503" i="5" s="1"/>
  <c r="B504" i="5" s="1"/>
  <c r="C504" i="5" s="1"/>
  <c r="B505" i="5" s="1"/>
  <c r="C505" i="5" s="1"/>
  <c r="B506" i="5" s="1"/>
  <c r="C506" i="5" s="1"/>
  <c r="B507" i="5" s="1"/>
  <c r="C507" i="5" s="1"/>
  <c r="B508" i="5" s="1"/>
  <c r="C508" i="5" s="1"/>
  <c r="B509" i="5" s="1"/>
  <c r="C509" i="5" s="1"/>
  <c r="D6" i="8"/>
  <c r="B7" i="8" s="1"/>
  <c r="H5" i="8"/>
  <c r="D7" i="8" l="1"/>
  <c r="B8" i="8" s="1"/>
  <c r="H6" i="8"/>
  <c r="D8" i="8" l="1"/>
  <c r="B9" i="8" s="1"/>
  <c r="H7" i="8"/>
  <c r="D9" i="8" l="1"/>
  <c r="B10" i="8" s="1"/>
  <c r="H8" i="8"/>
  <c r="D10" i="8" l="1"/>
  <c r="B11" i="8" s="1"/>
  <c r="H9" i="8"/>
  <c r="D11" i="8" l="1"/>
  <c r="B12" i="8" s="1"/>
  <c r="H10" i="8"/>
  <c r="D12" i="8" l="1"/>
  <c r="B13" i="8" s="1"/>
  <c r="H11" i="8"/>
  <c r="D13" i="8" l="1"/>
  <c r="H13" i="8" s="1"/>
  <c r="H12" i="8"/>
</calcChain>
</file>

<file path=xl/sharedStrings.xml><?xml version="1.0" encoding="utf-8"?>
<sst xmlns="http://schemas.openxmlformats.org/spreadsheetml/2006/main" count="24" uniqueCount="19">
  <si>
    <t>btc</t>
  </si>
  <si>
    <t>ideal plan uz redoviti rast od 10%</t>
  </si>
  <si>
    <t>mjesec</t>
  </si>
  <si>
    <t>prihod</t>
  </si>
  <si>
    <t>TARGET</t>
  </si>
  <si>
    <t>$</t>
  </si>
  <si>
    <t>prodajem</t>
  </si>
  <si>
    <t>kupim</t>
  </si>
  <si>
    <t>mjeseci</t>
  </si>
  <si>
    <t>ulog</t>
  </si>
  <si>
    <t>glavnica</t>
  </si>
  <si>
    <t>sve</t>
  </si>
  <si>
    <t>samo ulog</t>
  </si>
  <si>
    <t>zarada</t>
  </si>
  <si>
    <t>Postotni rast</t>
  </si>
  <si>
    <t>date</t>
  </si>
  <si>
    <t>value</t>
  </si>
  <si>
    <t>OVO JE CILJ</t>
  </si>
  <si>
    <t>glavnica sa dobiti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</si>
</sst>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5" x14ac:knownFonts="1"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b/>
      <sz val="12"/>
      <color theme="1"/>
      <name val="Calibri"/>
      <family val="2"/>
      <scheme val="minor"/>
    </font>
    <font>
      <sz val="11"/>
      <color rgb="FF006100"/>
      <name val="Calibri"/>
      <family val="2"/>
      <charset val="238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2" borderId="0" applyNumberFormat="0" applyBorder="0" applyAlignment="0" applyProtection="0"/>
  </cellStyleXfs>
  <cellXfs count="9">
    <xf numFmtId="0" fontId="0" fillId="0" borderId="0" xfId="0"/>
    <xf numFmtId="0" fontId="1" fillId="0" borderId="0" xfId="0" applyFont="1"/>
    <xf numFmtId="0" fontId="2" fillId="0" borderId="0" xfId="0" applyFont="1"/>
    <xf numFmtId="0" fontId="3" fillId="2" borderId="0" xfId="1"/>
    <xf numFmtId="0" fontId="0" fillId="3" borderId="0" xfId="0" applyFill="1"/>
    <xf numFmtId="9" fontId="0" fillId="0" borderId="0" xfId="0" applyNumberFormat="1"/>
    <xf numFmtId="14" fontId="0" fillId="0" borderId="0" xfId="0" applyNumberFormat="1"/>
    <xf numFmtId="0" fontId="4" fillId="0" borderId="0" xfId="0" applyFont="1"/>
    <xf numFmtId="0" fontId="2" fillId="4" borderId="0" xfId="0" applyFont="1" applyFill="1"/>
  </cellXfs>
  <cellStyles count="2">
    <cellStyle name="Good" xfId="1" builtinId="26"/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1BB3FCB2-FE34-4EC3-9CFC-8D200B5F1ED5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hr-HR"/>
              <a:t>ideal plan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sr-Latn-R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ideal_plan!$A$1</c:f>
              <c:strCache>
                <c:ptCount val="1"/>
                <c:pt idx="0">
                  <c:v>mjesec</c:v>
                </c:pt>
              </c:strCache>
            </c:strRef>
          </c:tx>
          <c:spPr>
            <a:noFill/>
            <a:ln w="9525" cap="flat" cmpd="sng" algn="ctr">
              <a:solidFill>
                <a:schemeClr val="accent2"/>
              </a:solidFill>
              <a:miter lim="800000"/>
            </a:ln>
            <a:effectLst>
              <a:glow rad="63500">
                <a:schemeClr val="accent2">
                  <a:satMod val="175000"/>
                  <a:alpha val="25000"/>
                </a:schemeClr>
              </a:glow>
            </a:effectLst>
          </c:spPr>
          <c:invertIfNegative val="0"/>
          <c:val>
            <c:numRef>
              <c:f>ideal_plan!$A$2:$A$40</c:f>
              <c:numCache>
                <c:formatCode>General</c:formatCode>
                <c:ptCount val="3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AD-4460-BED6-0666694E1545}"/>
            </c:ext>
          </c:extLst>
        </c:ser>
        <c:ser>
          <c:idx val="1"/>
          <c:order val="1"/>
          <c:tx>
            <c:strRef>
              <c:f>ideal_plan!$B$1</c:f>
              <c:strCache>
                <c:ptCount val="1"/>
                <c:pt idx="0">
                  <c:v>prihod</c:v>
                </c:pt>
              </c:strCache>
            </c:strRef>
          </c:tx>
          <c:spPr>
            <a:noFill/>
            <a:ln w="9525" cap="flat" cmpd="sng" algn="ctr">
              <a:solidFill>
                <a:schemeClr val="accent4"/>
              </a:solidFill>
              <a:miter lim="800000"/>
            </a:ln>
            <a:effectLst>
              <a:glow rad="63500">
                <a:schemeClr val="accent4">
                  <a:satMod val="175000"/>
                  <a:alpha val="25000"/>
                </a:schemeClr>
              </a:glow>
            </a:effectLst>
          </c:spPr>
          <c:invertIfNegative val="0"/>
          <c:val>
            <c:numRef>
              <c:f>ideal_plan!$B$2:$B$40</c:f>
              <c:numCache>
                <c:formatCode>General</c:formatCode>
                <c:ptCount val="39"/>
                <c:pt idx="0">
                  <c:v>4000</c:v>
                </c:pt>
                <c:pt idx="1">
                  <c:v>4400</c:v>
                </c:pt>
                <c:pt idx="2">
                  <c:v>4840</c:v>
                </c:pt>
                <c:pt idx="3">
                  <c:v>5324</c:v>
                </c:pt>
                <c:pt idx="4">
                  <c:v>5856.4000000000005</c:v>
                </c:pt>
                <c:pt idx="5">
                  <c:v>6442.0400000000009</c:v>
                </c:pt>
                <c:pt idx="6">
                  <c:v>7086.2440000000015</c:v>
                </c:pt>
                <c:pt idx="7">
                  <c:v>7794.8684000000021</c:v>
                </c:pt>
                <c:pt idx="8">
                  <c:v>8574.3552400000026</c:v>
                </c:pt>
                <c:pt idx="9">
                  <c:v>9431.790764000003</c:v>
                </c:pt>
                <c:pt idx="10">
                  <c:v>10374.969840400005</c:v>
                </c:pt>
                <c:pt idx="11">
                  <c:v>11412.466824440005</c:v>
                </c:pt>
                <c:pt idx="12">
                  <c:v>12553.713506884007</c:v>
                </c:pt>
                <c:pt idx="13">
                  <c:v>13809.084857572409</c:v>
                </c:pt>
                <c:pt idx="14">
                  <c:v>15189.99334332965</c:v>
                </c:pt>
                <c:pt idx="15">
                  <c:v>16708.992677662616</c:v>
                </c:pt>
                <c:pt idx="16">
                  <c:v>18379.891945428881</c:v>
                </c:pt>
                <c:pt idx="17">
                  <c:v>20217.881139971771</c:v>
                </c:pt>
                <c:pt idx="18">
                  <c:v>22239.66925396895</c:v>
                </c:pt>
                <c:pt idx="19">
                  <c:v>24463.636179365847</c:v>
                </c:pt>
                <c:pt idx="20">
                  <c:v>26909.999797302433</c:v>
                </c:pt>
                <c:pt idx="21">
                  <c:v>29600.999777032677</c:v>
                </c:pt>
                <c:pt idx="22">
                  <c:v>32561.099754735947</c:v>
                </c:pt>
                <c:pt idx="23">
                  <c:v>35817.209730209543</c:v>
                </c:pt>
                <c:pt idx="24">
                  <c:v>39398.930703230501</c:v>
                </c:pt>
                <c:pt idx="25">
                  <c:v>43338.823773553551</c:v>
                </c:pt>
                <c:pt idx="26">
                  <c:v>47672.706150908911</c:v>
                </c:pt>
                <c:pt idx="27">
                  <c:v>52439.976765999803</c:v>
                </c:pt>
                <c:pt idx="28">
                  <c:v>57683.974442599785</c:v>
                </c:pt>
                <c:pt idx="29">
                  <c:v>63452.371886859772</c:v>
                </c:pt>
                <c:pt idx="30">
                  <c:v>69797.609075545755</c:v>
                </c:pt>
                <c:pt idx="31">
                  <c:v>76777.369983100332</c:v>
                </c:pt>
                <c:pt idx="32">
                  <c:v>84455.106981410368</c:v>
                </c:pt>
                <c:pt idx="33">
                  <c:v>92900.617679551418</c:v>
                </c:pt>
                <c:pt idx="34">
                  <c:v>102190.67944750657</c:v>
                </c:pt>
                <c:pt idx="35">
                  <c:v>112409.74739225724</c:v>
                </c:pt>
                <c:pt idx="36">
                  <c:v>123650.72213148297</c:v>
                </c:pt>
                <c:pt idx="37">
                  <c:v>136015.79434463129</c:v>
                </c:pt>
                <c:pt idx="38">
                  <c:v>149617.37377909443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AD-4460-BED6-0666694E15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15"/>
        <c:overlap val="-40"/>
        <c:axId val="1226103696"/>
        <c:axId val="1223265024"/>
      </c:barChart>
      <c:catAx>
        <c:axId val="1226103696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r-Latn-RS"/>
          </a:p>
        </c:txPr>
        <c:crossAx val="1223265024"/>
        <c:crosses val="autoZero"/>
        <c:auto val="1"/>
        <c:lblAlgn val="ctr"/>
        <c:lblOffset val="100"/>
        <c:noMultiLvlLbl val="0"/>
      </c:catAx>
      <c:valAx>
        <c:axId val="1223265024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r-Latn-RS"/>
          </a:p>
        </c:txPr>
        <c:crossAx val="12261036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egendEntry>
        <c:idx val="0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sr-Latn-R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sr-Latn-R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sr-Latn-R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'IR MOB'!$H$1</c:f>
              <c:strCache>
                <c:ptCount val="1"/>
                <c:pt idx="0">
                  <c:v>Postotni rast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'IR MOB'!$A$2:$A$13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xVal>
          <c:yVal>
            <c:numRef>
              <c:f>'IR MOB'!$H$2:$H$13</c:f>
              <c:numCache>
                <c:formatCode>General</c:formatCode>
                <c:ptCount val="12"/>
                <c:pt idx="0">
                  <c:v>1.03</c:v>
                </c:pt>
                <c:pt idx="1">
                  <c:v>2.0909</c:v>
                </c:pt>
                <c:pt idx="2">
                  <c:v>3.183627</c:v>
                </c:pt>
                <c:pt idx="3">
                  <c:v>4.3091358099999999</c:v>
                </c:pt>
                <c:pt idx="4">
                  <c:v>5.4684098843000006</c:v>
                </c:pt>
                <c:pt idx="5">
                  <c:v>6.6624621808289994</c:v>
                </c:pt>
                <c:pt idx="6">
                  <c:v>7.8923360462538703</c:v>
                </c:pt>
                <c:pt idx="7">
                  <c:v>9.1591061276414862</c:v>
                </c:pt>
                <c:pt idx="8">
                  <c:v>10.46387931147073</c:v>
                </c:pt>
                <c:pt idx="9">
                  <c:v>11.807795690814851</c:v>
                </c:pt>
                <c:pt idx="10">
                  <c:v>13.192029561539295</c:v>
                </c:pt>
                <c:pt idx="11">
                  <c:v>14.617790448385474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FC-4D98-ACF8-9AB5E69770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5849663"/>
        <c:axId val="571856223"/>
      </c:scatterChart>
      <c:valAx>
        <c:axId val="7558496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r-Latn-RS"/>
          </a:p>
        </c:txPr>
        <c:crossAx val="571856223"/>
        <c:crosses val="autoZero"/>
        <c:crossBetween val="midCat"/>
      </c:valAx>
      <c:valAx>
        <c:axId val="5718562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r-Latn-RS"/>
          </a:p>
        </c:txPr>
        <c:crossAx val="75584966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sr-Latn-R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3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114299</xdr:colOff>
      <xdr:row>4</xdr:row>
      <xdr:rowOff>19050</xdr:rowOff>
    </xdr:from>
    <xdr:to>
      <xdr:col>15</xdr:col>
      <xdr:colOff>66674</xdr:colOff>
      <xdr:row>25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920D0F6-C09B-438C-9BA6-870EF046553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366116</xdr:colOff>
      <xdr:row>0</xdr:row>
      <xdr:rowOff>158353</xdr:rowOff>
    </xdr:from>
    <xdr:to>
      <xdr:col>16</xdr:col>
      <xdr:colOff>80366</xdr:colOff>
      <xdr:row>15</xdr:row>
      <xdr:rowOff>44053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A1CA201-56FE-4C14-BA46-8196784196F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5FEA32-B6BD-4910-84BA-84A4D170A4FC}">
  <sheetPr codeName="Sheet5">
    <tabColor rgb="FF0070C0"/>
  </sheetPr>
  <dimension ref="A1:F509"/>
  <sheetViews>
    <sheetView tabSelected="1" workbookViewId="0">
      <selection activeCell="A19" sqref="A19"/>
    </sheetView>
  </sheetViews>
  <sheetFormatPr defaultRowHeight="15" x14ac:dyDescent="0.25"/>
  <cols>
    <col min="3" max="3" width="19.140625" customWidth="1"/>
    <col min="6" max="6" width="34.42578125" bestFit="1" customWidth="1"/>
  </cols>
  <sheetData>
    <row r="1" spans="1:6" ht="15.75" x14ac:dyDescent="0.25">
      <c r="A1" s="8" t="s">
        <v>2</v>
      </c>
      <c r="B1" s="8" t="s">
        <v>3</v>
      </c>
      <c r="C1" s="8" t="s">
        <v>18</v>
      </c>
      <c r="F1" s="2" t="s">
        <v>1</v>
      </c>
    </row>
    <row r="2" spans="1:6" x14ac:dyDescent="0.25">
      <c r="A2" s="3">
        <v>1</v>
      </c>
      <c r="B2" s="3">
        <v>4000</v>
      </c>
      <c r="C2" s="3">
        <f t="shared" ref="C2:C40" si="0">B2*1.1</f>
        <v>4400</v>
      </c>
    </row>
    <row r="3" spans="1:6" x14ac:dyDescent="0.25">
      <c r="A3" s="3">
        <f>A2+1</f>
        <v>2</v>
      </c>
      <c r="B3" s="3">
        <f>C2</f>
        <v>4400</v>
      </c>
      <c r="C3" s="3">
        <f t="shared" si="0"/>
        <v>4840</v>
      </c>
    </row>
    <row r="4" spans="1:6" x14ac:dyDescent="0.25">
      <c r="A4" s="3">
        <f t="shared" ref="A4:A39" si="1">A3+1</f>
        <v>3</v>
      </c>
      <c r="B4" s="3">
        <f t="shared" ref="B4:B40" si="2">C3</f>
        <v>4840</v>
      </c>
      <c r="C4" s="3">
        <f t="shared" si="0"/>
        <v>5324</v>
      </c>
    </row>
    <row r="5" spans="1:6" x14ac:dyDescent="0.25">
      <c r="A5" s="3">
        <f t="shared" si="1"/>
        <v>4</v>
      </c>
      <c r="B5" s="3">
        <f t="shared" si="2"/>
        <v>5324</v>
      </c>
      <c r="C5" s="3">
        <f t="shared" si="0"/>
        <v>5856.4000000000005</v>
      </c>
    </row>
    <row r="6" spans="1:6" x14ac:dyDescent="0.25">
      <c r="A6" s="3">
        <f t="shared" si="1"/>
        <v>5</v>
      </c>
      <c r="B6" s="3">
        <f t="shared" si="2"/>
        <v>5856.4000000000005</v>
      </c>
      <c r="C6" s="3">
        <f t="shared" si="0"/>
        <v>6442.0400000000009</v>
      </c>
    </row>
    <row r="7" spans="1:6" x14ac:dyDescent="0.25">
      <c r="A7" s="3">
        <f t="shared" si="1"/>
        <v>6</v>
      </c>
      <c r="B7" s="3">
        <f t="shared" si="2"/>
        <v>6442.0400000000009</v>
      </c>
      <c r="C7" s="3">
        <f t="shared" si="0"/>
        <v>7086.2440000000015</v>
      </c>
    </row>
    <row r="8" spans="1:6" x14ac:dyDescent="0.25">
      <c r="A8" s="3">
        <f t="shared" si="1"/>
        <v>7</v>
      </c>
      <c r="B8" s="3">
        <f t="shared" si="2"/>
        <v>7086.2440000000015</v>
      </c>
      <c r="C8" s="3">
        <f t="shared" si="0"/>
        <v>7794.8684000000021</v>
      </c>
    </row>
    <row r="9" spans="1:6" x14ac:dyDescent="0.25">
      <c r="A9" s="3">
        <f t="shared" si="1"/>
        <v>8</v>
      </c>
      <c r="B9" s="3">
        <f t="shared" si="2"/>
        <v>7794.8684000000021</v>
      </c>
      <c r="C9" s="3">
        <f t="shared" si="0"/>
        <v>8574.3552400000026</v>
      </c>
    </row>
    <row r="10" spans="1:6" x14ac:dyDescent="0.25">
      <c r="A10" s="3">
        <f t="shared" si="1"/>
        <v>9</v>
      </c>
      <c r="B10" s="3">
        <f t="shared" si="2"/>
        <v>8574.3552400000026</v>
      </c>
      <c r="C10" s="3">
        <f t="shared" si="0"/>
        <v>9431.790764000003</v>
      </c>
    </row>
    <row r="11" spans="1:6" x14ac:dyDescent="0.25">
      <c r="A11" s="3">
        <f t="shared" si="1"/>
        <v>10</v>
      </c>
      <c r="B11" s="3">
        <f t="shared" si="2"/>
        <v>9431.790764000003</v>
      </c>
      <c r="C11" s="3">
        <f t="shared" si="0"/>
        <v>10374.969840400005</v>
      </c>
    </row>
    <row r="12" spans="1:6" x14ac:dyDescent="0.25">
      <c r="A12" s="3">
        <f t="shared" si="1"/>
        <v>11</v>
      </c>
      <c r="B12" s="3">
        <f t="shared" si="2"/>
        <v>10374.969840400005</v>
      </c>
      <c r="C12" s="3">
        <f t="shared" si="0"/>
        <v>11412.466824440005</v>
      </c>
    </row>
    <row r="13" spans="1:6" x14ac:dyDescent="0.25">
      <c r="A13" s="3">
        <f t="shared" si="1"/>
        <v>12</v>
      </c>
      <c r="B13" s="3">
        <f t="shared" si="2"/>
        <v>11412.466824440005</v>
      </c>
      <c r="C13" s="3">
        <f t="shared" si="0"/>
        <v>12553.713506884007</v>
      </c>
      <c r="D13">
        <v>11796</v>
      </c>
      <c r="E13" s="6">
        <v>44140</v>
      </c>
    </row>
    <row r="14" spans="1:6" x14ac:dyDescent="0.25">
      <c r="A14" s="3">
        <f t="shared" si="1"/>
        <v>13</v>
      </c>
      <c r="B14" s="3">
        <f t="shared" si="2"/>
        <v>12553.713506884007</v>
      </c>
      <c r="C14" s="3">
        <f t="shared" si="0"/>
        <v>13809.084857572409</v>
      </c>
    </row>
    <row r="15" spans="1:6" x14ac:dyDescent="0.25">
      <c r="A15" s="3">
        <f t="shared" si="1"/>
        <v>14</v>
      </c>
      <c r="B15" s="3">
        <f t="shared" si="2"/>
        <v>13809.084857572409</v>
      </c>
      <c r="C15" s="3">
        <f t="shared" si="0"/>
        <v>15189.99334332965</v>
      </c>
    </row>
    <row r="16" spans="1:6" x14ac:dyDescent="0.25">
      <c r="A16" s="3">
        <f t="shared" si="1"/>
        <v>15</v>
      </c>
      <c r="B16" s="3">
        <f t="shared" si="2"/>
        <v>15189.99334332965</v>
      </c>
      <c r="C16" s="3">
        <f t="shared" si="0"/>
        <v>16708.992677662616</v>
      </c>
    </row>
    <row r="17" spans="1:4" x14ac:dyDescent="0.25">
      <c r="A17" s="3">
        <f t="shared" si="1"/>
        <v>16</v>
      </c>
      <c r="B17" s="3">
        <f t="shared" si="2"/>
        <v>16708.992677662616</v>
      </c>
      <c r="C17" s="3">
        <f t="shared" si="0"/>
        <v>18379.891945428881</v>
      </c>
    </row>
    <row r="18" spans="1:4" x14ac:dyDescent="0.25">
      <c r="A18" s="3">
        <f t="shared" si="1"/>
        <v>17</v>
      </c>
      <c r="B18" s="3">
        <f t="shared" si="2"/>
        <v>18379.891945428881</v>
      </c>
      <c r="C18" s="3">
        <f t="shared" si="0"/>
        <v>20217.881139971771</v>
      </c>
    </row>
    <row r="19" spans="1:4" x14ac:dyDescent="0.25">
      <c r="A19" s="3">
        <f t="shared" si="1"/>
        <v>18</v>
      </c>
      <c r="B19" s="3">
        <f t="shared" si="2"/>
        <v>20217.881139971771</v>
      </c>
      <c r="C19" s="3">
        <f t="shared" si="0"/>
        <v>22239.66925396895</v>
      </c>
    </row>
    <row r="20" spans="1:4" x14ac:dyDescent="0.25">
      <c r="A20" s="3">
        <f t="shared" si="1"/>
        <v>19</v>
      </c>
      <c r="B20" s="3">
        <f t="shared" si="2"/>
        <v>22239.66925396895</v>
      </c>
      <c r="C20" s="3">
        <f t="shared" si="0"/>
        <v>24463.636179365847</v>
      </c>
    </row>
    <row r="21" spans="1:4" x14ac:dyDescent="0.25">
      <c r="A21">
        <f t="shared" si="1"/>
        <v>20</v>
      </c>
      <c r="B21">
        <f t="shared" si="2"/>
        <v>24463.636179365847</v>
      </c>
      <c r="C21">
        <f t="shared" si="0"/>
        <v>26909.999797302433</v>
      </c>
    </row>
    <row r="22" spans="1:4" x14ac:dyDescent="0.25">
      <c r="A22">
        <f t="shared" si="1"/>
        <v>21</v>
      </c>
      <c r="B22">
        <f t="shared" si="2"/>
        <v>26909.999797302433</v>
      </c>
      <c r="C22">
        <f t="shared" si="0"/>
        <v>29600.999777032677</v>
      </c>
    </row>
    <row r="23" spans="1:4" x14ac:dyDescent="0.25">
      <c r="A23">
        <f t="shared" si="1"/>
        <v>22</v>
      </c>
      <c r="B23">
        <f t="shared" si="2"/>
        <v>29600.999777032677</v>
      </c>
      <c r="C23">
        <f t="shared" si="0"/>
        <v>32561.099754735947</v>
      </c>
    </row>
    <row r="24" spans="1:4" x14ac:dyDescent="0.25">
      <c r="A24">
        <f t="shared" si="1"/>
        <v>23</v>
      </c>
      <c r="B24">
        <f t="shared" si="2"/>
        <v>32561.099754735947</v>
      </c>
      <c r="C24">
        <f t="shared" si="0"/>
        <v>35817.209730209543</v>
      </c>
    </row>
    <row r="25" spans="1:4" x14ac:dyDescent="0.25">
      <c r="A25">
        <f t="shared" si="1"/>
        <v>24</v>
      </c>
      <c r="B25">
        <f t="shared" si="2"/>
        <v>35817.209730209543</v>
      </c>
      <c r="C25">
        <f t="shared" si="0"/>
        <v>39398.930703230501</v>
      </c>
    </row>
    <row r="26" spans="1:4" x14ac:dyDescent="0.25">
      <c r="A26">
        <f t="shared" si="1"/>
        <v>25</v>
      </c>
      <c r="B26">
        <f t="shared" si="2"/>
        <v>39398.930703230501</v>
      </c>
      <c r="C26">
        <f t="shared" si="0"/>
        <v>43338.823773553551</v>
      </c>
      <c r="D26" t="s">
        <v>4</v>
      </c>
    </row>
    <row r="27" spans="1:4" x14ac:dyDescent="0.25">
      <c r="A27">
        <f t="shared" si="1"/>
        <v>26</v>
      </c>
      <c r="B27">
        <f t="shared" si="2"/>
        <v>43338.823773553551</v>
      </c>
      <c r="C27">
        <f t="shared" si="0"/>
        <v>47672.706150908911</v>
      </c>
    </row>
    <row r="28" spans="1:4" x14ac:dyDescent="0.25">
      <c r="A28">
        <f t="shared" si="1"/>
        <v>27</v>
      </c>
      <c r="B28">
        <f t="shared" si="2"/>
        <v>47672.706150908911</v>
      </c>
      <c r="C28">
        <f t="shared" si="0"/>
        <v>52439.976765999803</v>
      </c>
    </row>
    <row r="29" spans="1:4" x14ac:dyDescent="0.25">
      <c r="A29">
        <f t="shared" si="1"/>
        <v>28</v>
      </c>
      <c r="B29">
        <f t="shared" si="2"/>
        <v>52439.976765999803</v>
      </c>
      <c r="C29">
        <f t="shared" si="0"/>
        <v>57683.974442599785</v>
      </c>
    </row>
    <row r="30" spans="1:4" x14ac:dyDescent="0.25">
      <c r="A30">
        <f t="shared" si="1"/>
        <v>29</v>
      </c>
      <c r="B30">
        <f t="shared" si="2"/>
        <v>57683.974442599785</v>
      </c>
      <c r="C30">
        <f t="shared" si="0"/>
        <v>63452.371886859772</v>
      </c>
    </row>
    <row r="31" spans="1:4" x14ac:dyDescent="0.25">
      <c r="A31">
        <f t="shared" si="1"/>
        <v>30</v>
      </c>
      <c r="B31">
        <f t="shared" si="2"/>
        <v>63452.371886859772</v>
      </c>
      <c r="C31">
        <f t="shared" si="0"/>
        <v>69797.609075545755</v>
      </c>
    </row>
    <row r="32" spans="1:4" x14ac:dyDescent="0.25">
      <c r="A32">
        <f t="shared" si="1"/>
        <v>31</v>
      </c>
      <c r="B32">
        <f t="shared" si="2"/>
        <v>69797.609075545755</v>
      </c>
      <c r="C32">
        <f t="shared" si="0"/>
        <v>76777.369983100332</v>
      </c>
    </row>
    <row r="33" spans="1:5" x14ac:dyDescent="0.25">
      <c r="A33" s="7">
        <f t="shared" si="1"/>
        <v>32</v>
      </c>
      <c r="B33" s="7">
        <f t="shared" si="2"/>
        <v>76777.369983100332</v>
      </c>
      <c r="C33" s="7">
        <f>B33*1.1</f>
        <v>84455.106981410368</v>
      </c>
      <c r="E33" s="7" t="s">
        <v>17</v>
      </c>
    </row>
    <row r="34" spans="1:5" x14ac:dyDescent="0.25">
      <c r="A34">
        <f t="shared" si="1"/>
        <v>33</v>
      </c>
      <c r="B34">
        <f t="shared" si="2"/>
        <v>84455.106981410368</v>
      </c>
      <c r="C34">
        <f t="shared" si="0"/>
        <v>92900.617679551418</v>
      </c>
    </row>
    <row r="35" spans="1:5" x14ac:dyDescent="0.25">
      <c r="A35">
        <f t="shared" si="1"/>
        <v>34</v>
      </c>
      <c r="B35">
        <f t="shared" si="2"/>
        <v>92900.617679551418</v>
      </c>
      <c r="C35">
        <f t="shared" si="0"/>
        <v>102190.67944750657</v>
      </c>
    </row>
    <row r="36" spans="1:5" x14ac:dyDescent="0.25">
      <c r="A36">
        <f t="shared" si="1"/>
        <v>35</v>
      </c>
      <c r="B36">
        <f t="shared" si="2"/>
        <v>102190.67944750657</v>
      </c>
      <c r="C36">
        <f t="shared" si="0"/>
        <v>112409.74739225724</v>
      </c>
    </row>
    <row r="37" spans="1:5" x14ac:dyDescent="0.25">
      <c r="A37">
        <f t="shared" si="1"/>
        <v>36</v>
      </c>
      <c r="B37">
        <f t="shared" si="2"/>
        <v>112409.74739225724</v>
      </c>
      <c r="C37">
        <f t="shared" si="0"/>
        <v>123650.72213148297</v>
      </c>
    </row>
    <row r="38" spans="1:5" x14ac:dyDescent="0.25">
      <c r="A38">
        <f t="shared" si="1"/>
        <v>37</v>
      </c>
      <c r="B38">
        <f t="shared" si="2"/>
        <v>123650.72213148297</v>
      </c>
      <c r="C38">
        <f t="shared" si="0"/>
        <v>136015.79434463129</v>
      </c>
    </row>
    <row r="39" spans="1:5" x14ac:dyDescent="0.25">
      <c r="A39">
        <f t="shared" si="1"/>
        <v>38</v>
      </c>
      <c r="B39">
        <f t="shared" si="2"/>
        <v>136015.79434463129</v>
      </c>
      <c r="C39">
        <f t="shared" si="0"/>
        <v>149617.37377909443</v>
      </c>
    </row>
    <row r="40" spans="1:5" x14ac:dyDescent="0.25">
      <c r="A40">
        <v>39</v>
      </c>
      <c r="B40">
        <f t="shared" si="2"/>
        <v>149617.37377909443</v>
      </c>
      <c r="C40">
        <f t="shared" si="0"/>
        <v>164579.11115700388</v>
      </c>
    </row>
    <row r="41" spans="1:5" x14ac:dyDescent="0.25">
      <c r="A41">
        <v>40</v>
      </c>
      <c r="B41">
        <f t="shared" ref="B41:B104" si="3">C40</f>
        <v>164579.11115700388</v>
      </c>
      <c r="C41">
        <f t="shared" ref="C41:C104" si="4">B41*1.1</f>
        <v>181037.02227270429</v>
      </c>
    </row>
    <row r="42" spans="1:5" x14ac:dyDescent="0.25">
      <c r="A42">
        <v>41</v>
      </c>
      <c r="B42">
        <f t="shared" si="3"/>
        <v>181037.02227270429</v>
      </c>
      <c r="C42">
        <f t="shared" si="4"/>
        <v>199140.72449997472</v>
      </c>
    </row>
    <row r="43" spans="1:5" x14ac:dyDescent="0.25">
      <c r="A43">
        <v>42</v>
      </c>
      <c r="B43">
        <f t="shared" si="3"/>
        <v>199140.72449997472</v>
      </c>
      <c r="C43">
        <f t="shared" si="4"/>
        <v>219054.79694997222</v>
      </c>
    </row>
    <row r="44" spans="1:5" x14ac:dyDescent="0.25">
      <c r="A44">
        <v>43</v>
      </c>
      <c r="B44">
        <f t="shared" si="3"/>
        <v>219054.79694997222</v>
      </c>
      <c r="C44">
        <f t="shared" si="4"/>
        <v>240960.27664496948</v>
      </c>
    </row>
    <row r="45" spans="1:5" x14ac:dyDescent="0.25">
      <c r="A45">
        <v>44</v>
      </c>
      <c r="B45">
        <f t="shared" si="3"/>
        <v>240960.27664496948</v>
      </c>
      <c r="C45">
        <f t="shared" si="4"/>
        <v>265056.30430946645</v>
      </c>
    </row>
    <row r="46" spans="1:5" x14ac:dyDescent="0.25">
      <c r="A46">
        <v>45</v>
      </c>
      <c r="B46">
        <f t="shared" si="3"/>
        <v>265056.30430946645</v>
      </c>
      <c r="C46">
        <f t="shared" si="4"/>
        <v>291561.9347404131</v>
      </c>
    </row>
    <row r="47" spans="1:5" x14ac:dyDescent="0.25">
      <c r="A47">
        <v>46</v>
      </c>
      <c r="B47">
        <f t="shared" si="3"/>
        <v>291561.9347404131</v>
      </c>
      <c r="C47">
        <f t="shared" si="4"/>
        <v>320718.12821445445</v>
      </c>
    </row>
    <row r="48" spans="1:5" x14ac:dyDescent="0.25">
      <c r="A48">
        <v>47</v>
      </c>
      <c r="B48">
        <f t="shared" si="3"/>
        <v>320718.12821445445</v>
      </c>
      <c r="C48">
        <f t="shared" si="4"/>
        <v>352789.94103589992</v>
      </c>
    </row>
    <row r="49" spans="1:3" x14ac:dyDescent="0.25">
      <c r="A49">
        <v>48</v>
      </c>
      <c r="B49">
        <f t="shared" si="3"/>
        <v>352789.94103589992</v>
      </c>
      <c r="C49">
        <f t="shared" si="4"/>
        <v>388068.93513948994</v>
      </c>
    </row>
    <row r="50" spans="1:3" x14ac:dyDescent="0.25">
      <c r="A50">
        <v>49</v>
      </c>
      <c r="B50">
        <f t="shared" si="3"/>
        <v>388068.93513948994</v>
      </c>
      <c r="C50">
        <f t="shared" si="4"/>
        <v>426875.82865343895</v>
      </c>
    </row>
    <row r="51" spans="1:3" x14ac:dyDescent="0.25">
      <c r="A51">
        <v>50</v>
      </c>
      <c r="B51">
        <f t="shared" si="3"/>
        <v>426875.82865343895</v>
      </c>
      <c r="C51">
        <f t="shared" si="4"/>
        <v>469563.4115187829</v>
      </c>
    </row>
    <row r="52" spans="1:3" x14ac:dyDescent="0.25">
      <c r="A52">
        <v>51</v>
      </c>
      <c r="B52">
        <f t="shared" si="3"/>
        <v>469563.4115187829</v>
      </c>
      <c r="C52">
        <f t="shared" si="4"/>
        <v>516519.75267066126</v>
      </c>
    </row>
    <row r="53" spans="1:3" x14ac:dyDescent="0.25">
      <c r="A53">
        <v>52</v>
      </c>
      <c r="B53">
        <f t="shared" si="3"/>
        <v>516519.75267066126</v>
      </c>
      <c r="C53">
        <f t="shared" si="4"/>
        <v>568171.72793772747</v>
      </c>
    </row>
    <row r="54" spans="1:3" x14ac:dyDescent="0.25">
      <c r="A54">
        <v>53</v>
      </c>
      <c r="B54">
        <f t="shared" si="3"/>
        <v>568171.72793772747</v>
      </c>
      <c r="C54">
        <f t="shared" si="4"/>
        <v>624988.90073150024</v>
      </c>
    </row>
    <row r="55" spans="1:3" x14ac:dyDescent="0.25">
      <c r="A55">
        <v>54</v>
      </c>
      <c r="B55">
        <f t="shared" si="3"/>
        <v>624988.90073150024</v>
      </c>
      <c r="C55">
        <f t="shared" si="4"/>
        <v>687487.79080465029</v>
      </c>
    </row>
    <row r="56" spans="1:3" x14ac:dyDescent="0.25">
      <c r="A56">
        <v>55</v>
      </c>
      <c r="B56">
        <f t="shared" si="3"/>
        <v>687487.79080465029</v>
      </c>
      <c r="C56">
        <f t="shared" si="4"/>
        <v>756236.56988511537</v>
      </c>
    </row>
    <row r="57" spans="1:3" x14ac:dyDescent="0.25">
      <c r="A57">
        <v>56</v>
      </c>
      <c r="B57">
        <f t="shared" si="3"/>
        <v>756236.56988511537</v>
      </c>
      <c r="C57">
        <f t="shared" si="4"/>
        <v>831860.22687362693</v>
      </c>
    </row>
    <row r="58" spans="1:3" x14ac:dyDescent="0.25">
      <c r="A58">
        <v>57</v>
      </c>
      <c r="B58">
        <f t="shared" si="3"/>
        <v>831860.22687362693</v>
      </c>
      <c r="C58">
        <f t="shared" si="4"/>
        <v>915046.24956098967</v>
      </c>
    </row>
    <row r="59" spans="1:3" x14ac:dyDescent="0.25">
      <c r="A59">
        <v>58</v>
      </c>
      <c r="B59">
        <f t="shared" si="3"/>
        <v>915046.24956098967</v>
      </c>
      <c r="C59">
        <f t="shared" si="4"/>
        <v>1006550.8745170888</v>
      </c>
    </row>
    <row r="60" spans="1:3" x14ac:dyDescent="0.25">
      <c r="A60">
        <v>59</v>
      </c>
      <c r="B60">
        <f t="shared" si="3"/>
        <v>1006550.8745170888</v>
      </c>
      <c r="C60">
        <f t="shared" si="4"/>
        <v>1107205.9619687977</v>
      </c>
    </row>
    <row r="61" spans="1:3" x14ac:dyDescent="0.25">
      <c r="A61">
        <v>60</v>
      </c>
      <c r="B61">
        <f t="shared" si="3"/>
        <v>1107205.9619687977</v>
      </c>
      <c r="C61">
        <f t="shared" si="4"/>
        <v>1217926.5581656776</v>
      </c>
    </row>
    <row r="62" spans="1:3" x14ac:dyDescent="0.25">
      <c r="A62">
        <v>61</v>
      </c>
      <c r="B62">
        <f t="shared" si="3"/>
        <v>1217926.5581656776</v>
      </c>
      <c r="C62">
        <f t="shared" si="4"/>
        <v>1339719.2139822454</v>
      </c>
    </row>
    <row r="63" spans="1:3" x14ac:dyDescent="0.25">
      <c r="A63">
        <v>62</v>
      </c>
      <c r="B63">
        <f t="shared" si="3"/>
        <v>1339719.2139822454</v>
      </c>
      <c r="C63">
        <f t="shared" si="4"/>
        <v>1473691.1353804702</v>
      </c>
    </row>
    <row r="64" spans="1:3" x14ac:dyDescent="0.25">
      <c r="A64">
        <v>63</v>
      </c>
      <c r="B64">
        <f t="shared" si="3"/>
        <v>1473691.1353804702</v>
      </c>
      <c r="C64">
        <f t="shared" si="4"/>
        <v>1621060.2489185173</v>
      </c>
    </row>
    <row r="65" spans="1:3" x14ac:dyDescent="0.25">
      <c r="A65">
        <v>64</v>
      </c>
      <c r="B65">
        <f t="shared" si="3"/>
        <v>1621060.2489185173</v>
      </c>
      <c r="C65">
        <f t="shared" si="4"/>
        <v>1783166.2738103692</v>
      </c>
    </row>
    <row r="66" spans="1:3" x14ac:dyDescent="0.25">
      <c r="A66">
        <v>65</v>
      </c>
      <c r="B66">
        <f t="shared" si="3"/>
        <v>1783166.2738103692</v>
      </c>
      <c r="C66">
        <f t="shared" si="4"/>
        <v>1961482.9011914062</v>
      </c>
    </row>
    <row r="67" spans="1:3" x14ac:dyDescent="0.25">
      <c r="A67">
        <v>66</v>
      </c>
      <c r="B67">
        <f t="shared" si="3"/>
        <v>1961482.9011914062</v>
      </c>
      <c r="C67">
        <f t="shared" si="4"/>
        <v>2157631.1913105468</v>
      </c>
    </row>
    <row r="68" spans="1:3" x14ac:dyDescent="0.25">
      <c r="A68">
        <v>67</v>
      </c>
      <c r="B68">
        <f t="shared" si="3"/>
        <v>2157631.1913105468</v>
      </c>
      <c r="C68">
        <f t="shared" si="4"/>
        <v>2373394.3104416016</v>
      </c>
    </row>
    <row r="69" spans="1:3" x14ac:dyDescent="0.25">
      <c r="A69">
        <v>68</v>
      </c>
      <c r="B69">
        <f t="shared" si="3"/>
        <v>2373394.3104416016</v>
      </c>
      <c r="C69">
        <f t="shared" si="4"/>
        <v>2610733.7414857619</v>
      </c>
    </row>
    <row r="70" spans="1:3" x14ac:dyDescent="0.25">
      <c r="A70">
        <v>69</v>
      </c>
      <c r="B70">
        <f t="shared" si="3"/>
        <v>2610733.7414857619</v>
      </c>
      <c r="C70">
        <f t="shared" si="4"/>
        <v>2871807.1156343385</v>
      </c>
    </row>
    <row r="71" spans="1:3" x14ac:dyDescent="0.25">
      <c r="A71">
        <v>70</v>
      </c>
      <c r="B71">
        <f t="shared" si="3"/>
        <v>2871807.1156343385</v>
      </c>
      <c r="C71">
        <f t="shared" si="4"/>
        <v>3158987.8271977725</v>
      </c>
    </row>
    <row r="72" spans="1:3" x14ac:dyDescent="0.25">
      <c r="A72">
        <v>71</v>
      </c>
      <c r="B72">
        <f t="shared" si="3"/>
        <v>3158987.8271977725</v>
      </c>
      <c r="C72">
        <f t="shared" si="4"/>
        <v>3474886.6099175499</v>
      </c>
    </row>
    <row r="73" spans="1:3" x14ac:dyDescent="0.25">
      <c r="A73">
        <v>72</v>
      </c>
      <c r="B73">
        <f t="shared" si="3"/>
        <v>3474886.6099175499</v>
      </c>
      <c r="C73">
        <f t="shared" si="4"/>
        <v>3822375.2709093052</v>
      </c>
    </row>
    <row r="74" spans="1:3" x14ac:dyDescent="0.25">
      <c r="A74">
        <v>73</v>
      </c>
      <c r="B74">
        <f t="shared" si="3"/>
        <v>3822375.2709093052</v>
      </c>
      <c r="C74">
        <f t="shared" si="4"/>
        <v>4204612.798000236</v>
      </c>
    </row>
    <row r="75" spans="1:3" x14ac:dyDescent="0.25">
      <c r="A75">
        <v>74</v>
      </c>
      <c r="B75">
        <f t="shared" si="3"/>
        <v>4204612.798000236</v>
      </c>
      <c r="C75">
        <f t="shared" si="4"/>
        <v>4625074.0778002599</v>
      </c>
    </row>
    <row r="76" spans="1:3" x14ac:dyDescent="0.25">
      <c r="A76">
        <v>75</v>
      </c>
      <c r="B76">
        <f t="shared" si="3"/>
        <v>4625074.0778002599</v>
      </c>
      <c r="C76">
        <f t="shared" si="4"/>
        <v>5087581.485580286</v>
      </c>
    </row>
    <row r="77" spans="1:3" x14ac:dyDescent="0.25">
      <c r="A77">
        <v>76</v>
      </c>
      <c r="B77">
        <f t="shared" si="3"/>
        <v>5087581.485580286</v>
      </c>
      <c r="C77">
        <f t="shared" si="4"/>
        <v>5596339.634138315</v>
      </c>
    </row>
    <row r="78" spans="1:3" x14ac:dyDescent="0.25">
      <c r="A78">
        <v>77</v>
      </c>
      <c r="B78">
        <f t="shared" si="3"/>
        <v>5596339.634138315</v>
      </c>
      <c r="C78">
        <f t="shared" si="4"/>
        <v>6155973.5975521468</v>
      </c>
    </row>
    <row r="79" spans="1:3" x14ac:dyDescent="0.25">
      <c r="A79">
        <v>78</v>
      </c>
      <c r="B79">
        <f t="shared" si="3"/>
        <v>6155973.5975521468</v>
      </c>
      <c r="C79">
        <f t="shared" si="4"/>
        <v>6771570.957307362</v>
      </c>
    </row>
    <row r="80" spans="1:3" x14ac:dyDescent="0.25">
      <c r="A80">
        <v>79</v>
      </c>
      <c r="B80">
        <f t="shared" si="3"/>
        <v>6771570.957307362</v>
      </c>
      <c r="C80">
        <f t="shared" si="4"/>
        <v>7448728.0530380988</v>
      </c>
    </row>
    <row r="81" spans="1:3" x14ac:dyDescent="0.25">
      <c r="A81">
        <v>80</v>
      </c>
      <c r="B81">
        <f t="shared" si="3"/>
        <v>7448728.0530380988</v>
      </c>
      <c r="C81">
        <f t="shared" si="4"/>
        <v>8193600.858341909</v>
      </c>
    </row>
    <row r="82" spans="1:3" x14ac:dyDescent="0.25">
      <c r="A82">
        <v>81</v>
      </c>
      <c r="B82">
        <f t="shared" si="3"/>
        <v>8193600.858341909</v>
      </c>
      <c r="C82">
        <f t="shared" si="4"/>
        <v>9012960.9441761002</v>
      </c>
    </row>
    <row r="83" spans="1:3" x14ac:dyDescent="0.25">
      <c r="A83">
        <v>82</v>
      </c>
      <c r="B83">
        <f t="shared" si="3"/>
        <v>9012960.9441761002</v>
      </c>
      <c r="C83">
        <f t="shared" si="4"/>
        <v>9914257.0385937113</v>
      </c>
    </row>
    <row r="84" spans="1:3" x14ac:dyDescent="0.25">
      <c r="A84">
        <v>83</v>
      </c>
      <c r="B84">
        <f t="shared" si="3"/>
        <v>9914257.0385937113</v>
      </c>
      <c r="C84">
        <f t="shared" si="4"/>
        <v>10905682.742453083</v>
      </c>
    </row>
    <row r="85" spans="1:3" x14ac:dyDescent="0.25">
      <c r="A85">
        <v>84</v>
      </c>
      <c r="B85">
        <f t="shared" si="3"/>
        <v>10905682.742453083</v>
      </c>
      <c r="C85">
        <f t="shared" si="4"/>
        <v>11996251.016698392</v>
      </c>
    </row>
    <row r="86" spans="1:3" x14ac:dyDescent="0.25">
      <c r="A86">
        <v>85</v>
      </c>
      <c r="B86">
        <f t="shared" si="3"/>
        <v>11996251.016698392</v>
      </c>
      <c r="C86">
        <f t="shared" si="4"/>
        <v>13195876.118368233</v>
      </c>
    </row>
    <row r="87" spans="1:3" x14ac:dyDescent="0.25">
      <c r="A87">
        <v>86</v>
      </c>
      <c r="B87">
        <f t="shared" si="3"/>
        <v>13195876.118368233</v>
      </c>
      <c r="C87">
        <f t="shared" si="4"/>
        <v>14515463.730205057</v>
      </c>
    </row>
    <row r="88" spans="1:3" x14ac:dyDescent="0.25">
      <c r="A88">
        <v>87</v>
      </c>
      <c r="B88">
        <f t="shared" si="3"/>
        <v>14515463.730205057</v>
      </c>
      <c r="C88">
        <f t="shared" si="4"/>
        <v>15967010.103225565</v>
      </c>
    </row>
    <row r="89" spans="1:3" x14ac:dyDescent="0.25">
      <c r="A89">
        <v>88</v>
      </c>
      <c r="B89">
        <f t="shared" si="3"/>
        <v>15967010.103225565</v>
      </c>
      <c r="C89">
        <f t="shared" si="4"/>
        <v>17563711.113548122</v>
      </c>
    </row>
    <row r="90" spans="1:3" x14ac:dyDescent="0.25">
      <c r="A90">
        <v>89</v>
      </c>
      <c r="B90">
        <f t="shared" si="3"/>
        <v>17563711.113548122</v>
      </c>
      <c r="C90">
        <f t="shared" si="4"/>
        <v>19320082.224902935</v>
      </c>
    </row>
    <row r="91" spans="1:3" x14ac:dyDescent="0.25">
      <c r="A91">
        <v>90</v>
      </c>
      <c r="B91">
        <f t="shared" si="3"/>
        <v>19320082.224902935</v>
      </c>
      <c r="C91">
        <f t="shared" si="4"/>
        <v>21252090.447393231</v>
      </c>
    </row>
    <row r="92" spans="1:3" x14ac:dyDescent="0.25">
      <c r="A92">
        <v>91</v>
      </c>
      <c r="B92">
        <f t="shared" si="3"/>
        <v>21252090.447393231</v>
      </c>
      <c r="C92">
        <f t="shared" si="4"/>
        <v>23377299.492132556</v>
      </c>
    </row>
    <row r="93" spans="1:3" x14ac:dyDescent="0.25">
      <c r="A93">
        <v>92</v>
      </c>
      <c r="B93">
        <f t="shared" si="3"/>
        <v>23377299.492132556</v>
      </c>
      <c r="C93">
        <f t="shared" si="4"/>
        <v>25715029.441345815</v>
      </c>
    </row>
    <row r="94" spans="1:3" x14ac:dyDescent="0.25">
      <c r="A94">
        <v>93</v>
      </c>
      <c r="B94">
        <f t="shared" si="3"/>
        <v>25715029.441345815</v>
      </c>
      <c r="C94">
        <f t="shared" si="4"/>
        <v>28286532.3854804</v>
      </c>
    </row>
    <row r="95" spans="1:3" x14ac:dyDescent="0.25">
      <c r="A95">
        <v>94</v>
      </c>
      <c r="B95">
        <f t="shared" si="3"/>
        <v>28286532.3854804</v>
      </c>
      <c r="C95">
        <f t="shared" si="4"/>
        <v>31115185.624028444</v>
      </c>
    </row>
    <row r="96" spans="1:3" x14ac:dyDescent="0.25">
      <c r="A96">
        <v>95</v>
      </c>
      <c r="B96">
        <f t="shared" si="3"/>
        <v>31115185.624028444</v>
      </c>
      <c r="C96">
        <f t="shared" si="4"/>
        <v>34226704.186431289</v>
      </c>
    </row>
    <row r="97" spans="1:3" x14ac:dyDescent="0.25">
      <c r="A97">
        <v>96</v>
      </c>
      <c r="B97">
        <f t="shared" si="3"/>
        <v>34226704.186431289</v>
      </c>
      <c r="C97">
        <f t="shared" si="4"/>
        <v>37649374.605074421</v>
      </c>
    </row>
    <row r="98" spans="1:3" x14ac:dyDescent="0.25">
      <c r="A98">
        <v>97</v>
      </c>
      <c r="B98">
        <f t="shared" si="3"/>
        <v>37649374.605074421</v>
      </c>
      <c r="C98">
        <f t="shared" si="4"/>
        <v>41414312.065581866</v>
      </c>
    </row>
    <row r="99" spans="1:3" x14ac:dyDescent="0.25">
      <c r="A99">
        <v>98</v>
      </c>
      <c r="B99">
        <f t="shared" si="3"/>
        <v>41414312.065581866</v>
      </c>
      <c r="C99">
        <f t="shared" si="4"/>
        <v>45555743.272140056</v>
      </c>
    </row>
    <row r="100" spans="1:3" x14ac:dyDescent="0.25">
      <c r="A100">
        <v>99</v>
      </c>
      <c r="B100">
        <f t="shared" si="3"/>
        <v>45555743.272140056</v>
      </c>
      <c r="C100">
        <f t="shared" si="4"/>
        <v>50111317.599354066</v>
      </c>
    </row>
    <row r="101" spans="1:3" x14ac:dyDescent="0.25">
      <c r="A101">
        <v>100</v>
      </c>
      <c r="B101">
        <f t="shared" si="3"/>
        <v>50111317.599354066</v>
      </c>
      <c r="C101">
        <f t="shared" si="4"/>
        <v>55122449.359289475</v>
      </c>
    </row>
    <row r="102" spans="1:3" x14ac:dyDescent="0.25">
      <c r="A102">
        <v>101</v>
      </c>
      <c r="B102">
        <f t="shared" si="3"/>
        <v>55122449.359289475</v>
      </c>
      <c r="C102">
        <f t="shared" si="4"/>
        <v>60634694.29521843</v>
      </c>
    </row>
    <row r="103" spans="1:3" x14ac:dyDescent="0.25">
      <c r="A103">
        <v>102</v>
      </c>
      <c r="B103">
        <f t="shared" si="3"/>
        <v>60634694.29521843</v>
      </c>
      <c r="C103">
        <f t="shared" si="4"/>
        <v>66698163.724740282</v>
      </c>
    </row>
    <row r="104" spans="1:3" x14ac:dyDescent="0.25">
      <c r="A104">
        <v>103</v>
      </c>
      <c r="B104">
        <f t="shared" si="3"/>
        <v>66698163.724740282</v>
      </c>
      <c r="C104">
        <f t="shared" si="4"/>
        <v>73367980.097214311</v>
      </c>
    </row>
    <row r="105" spans="1:3" x14ac:dyDescent="0.25">
      <c r="A105">
        <v>104</v>
      </c>
      <c r="B105">
        <f t="shared" ref="B105:B168" si="5">C104</f>
        <v>73367980.097214311</v>
      </c>
      <c r="C105">
        <f t="shared" ref="C105:C168" si="6">B105*1.1</f>
        <v>80704778.106935754</v>
      </c>
    </row>
    <row r="106" spans="1:3" x14ac:dyDescent="0.25">
      <c r="A106">
        <v>105</v>
      </c>
      <c r="B106">
        <f t="shared" si="5"/>
        <v>80704778.106935754</v>
      </c>
      <c r="C106">
        <f t="shared" si="6"/>
        <v>88775255.917629331</v>
      </c>
    </row>
    <row r="107" spans="1:3" x14ac:dyDescent="0.25">
      <c r="A107">
        <v>106</v>
      </c>
      <c r="B107">
        <f t="shared" si="5"/>
        <v>88775255.917629331</v>
      </c>
      <c r="C107">
        <f t="shared" si="6"/>
        <v>97652781.509392276</v>
      </c>
    </row>
    <row r="108" spans="1:3" x14ac:dyDescent="0.25">
      <c r="A108">
        <v>107</v>
      </c>
      <c r="B108">
        <f t="shared" si="5"/>
        <v>97652781.509392276</v>
      </c>
      <c r="C108">
        <f t="shared" si="6"/>
        <v>107418059.66033152</v>
      </c>
    </row>
    <row r="109" spans="1:3" x14ac:dyDescent="0.25">
      <c r="A109">
        <v>108</v>
      </c>
      <c r="B109">
        <f t="shared" si="5"/>
        <v>107418059.66033152</v>
      </c>
      <c r="C109">
        <f t="shared" si="6"/>
        <v>118159865.62636468</v>
      </c>
    </row>
    <row r="110" spans="1:3" x14ac:dyDescent="0.25">
      <c r="A110">
        <v>109</v>
      </c>
      <c r="B110">
        <f t="shared" si="5"/>
        <v>118159865.62636468</v>
      </c>
      <c r="C110">
        <f t="shared" si="6"/>
        <v>129975852.18900116</v>
      </c>
    </row>
    <row r="111" spans="1:3" x14ac:dyDescent="0.25">
      <c r="A111">
        <v>110</v>
      </c>
      <c r="B111">
        <f t="shared" si="5"/>
        <v>129975852.18900116</v>
      </c>
      <c r="C111">
        <f t="shared" si="6"/>
        <v>142973437.40790129</v>
      </c>
    </row>
    <row r="112" spans="1:3" x14ac:dyDescent="0.25">
      <c r="A112">
        <v>111</v>
      </c>
      <c r="B112">
        <f t="shared" si="5"/>
        <v>142973437.40790129</v>
      </c>
      <c r="C112">
        <f t="shared" si="6"/>
        <v>157270781.14869142</v>
      </c>
    </row>
    <row r="113" spans="1:3" x14ac:dyDescent="0.25">
      <c r="A113">
        <v>112</v>
      </c>
      <c r="B113">
        <f t="shared" si="5"/>
        <v>157270781.14869142</v>
      </c>
      <c r="C113">
        <f t="shared" si="6"/>
        <v>172997859.26356056</v>
      </c>
    </row>
    <row r="114" spans="1:3" x14ac:dyDescent="0.25">
      <c r="A114">
        <v>113</v>
      </c>
      <c r="B114">
        <f t="shared" si="5"/>
        <v>172997859.26356056</v>
      </c>
      <c r="C114">
        <f t="shared" si="6"/>
        <v>190297645.18991664</v>
      </c>
    </row>
    <row r="115" spans="1:3" x14ac:dyDescent="0.25">
      <c r="A115">
        <v>114</v>
      </c>
      <c r="B115">
        <f t="shared" si="5"/>
        <v>190297645.18991664</v>
      </c>
      <c r="C115">
        <f t="shared" si="6"/>
        <v>209327409.70890832</v>
      </c>
    </row>
    <row r="116" spans="1:3" x14ac:dyDescent="0.25">
      <c r="A116">
        <v>115</v>
      </c>
      <c r="B116">
        <f t="shared" si="5"/>
        <v>209327409.70890832</v>
      </c>
      <c r="C116">
        <f t="shared" si="6"/>
        <v>230260150.67979917</v>
      </c>
    </row>
    <row r="117" spans="1:3" x14ac:dyDescent="0.25">
      <c r="A117">
        <v>116</v>
      </c>
      <c r="B117">
        <f t="shared" si="5"/>
        <v>230260150.67979917</v>
      </c>
      <c r="C117">
        <f t="shared" si="6"/>
        <v>253286165.7477791</v>
      </c>
    </row>
    <row r="118" spans="1:3" x14ac:dyDescent="0.25">
      <c r="A118">
        <v>117</v>
      </c>
      <c r="B118">
        <f t="shared" si="5"/>
        <v>253286165.7477791</v>
      </c>
      <c r="C118">
        <f t="shared" si="6"/>
        <v>278614782.32255703</v>
      </c>
    </row>
    <row r="119" spans="1:3" x14ac:dyDescent="0.25">
      <c r="A119">
        <v>118</v>
      </c>
      <c r="B119">
        <f t="shared" si="5"/>
        <v>278614782.32255703</v>
      </c>
      <c r="C119">
        <f t="shared" si="6"/>
        <v>306476260.55481279</v>
      </c>
    </row>
    <row r="120" spans="1:3" x14ac:dyDescent="0.25">
      <c r="A120">
        <v>119</v>
      </c>
      <c r="B120">
        <f t="shared" si="5"/>
        <v>306476260.55481279</v>
      </c>
      <c r="C120">
        <f t="shared" si="6"/>
        <v>337123886.6102941</v>
      </c>
    </row>
    <row r="121" spans="1:3" x14ac:dyDescent="0.25">
      <c r="A121">
        <v>120</v>
      </c>
      <c r="B121">
        <f t="shared" si="5"/>
        <v>337123886.6102941</v>
      </c>
      <c r="C121">
        <f t="shared" si="6"/>
        <v>370836275.27132356</v>
      </c>
    </row>
    <row r="122" spans="1:3" x14ac:dyDescent="0.25">
      <c r="A122">
        <v>121</v>
      </c>
      <c r="B122">
        <f t="shared" si="5"/>
        <v>370836275.27132356</v>
      </c>
      <c r="C122">
        <f t="shared" si="6"/>
        <v>407919902.79845595</v>
      </c>
    </row>
    <row r="123" spans="1:3" x14ac:dyDescent="0.25">
      <c r="A123">
        <v>122</v>
      </c>
      <c r="B123">
        <f t="shared" si="5"/>
        <v>407919902.79845595</v>
      </c>
      <c r="C123">
        <f t="shared" si="6"/>
        <v>448711893.07830161</v>
      </c>
    </row>
    <row r="124" spans="1:3" x14ac:dyDescent="0.25">
      <c r="A124">
        <v>123</v>
      </c>
      <c r="B124">
        <f t="shared" si="5"/>
        <v>448711893.07830161</v>
      </c>
      <c r="C124">
        <f t="shared" si="6"/>
        <v>493583082.38613182</v>
      </c>
    </row>
    <row r="125" spans="1:3" x14ac:dyDescent="0.25">
      <c r="A125">
        <v>124</v>
      </c>
      <c r="B125">
        <f t="shared" si="5"/>
        <v>493583082.38613182</v>
      </c>
      <c r="C125">
        <f t="shared" si="6"/>
        <v>542941390.62474501</v>
      </c>
    </row>
    <row r="126" spans="1:3" x14ac:dyDescent="0.25">
      <c r="A126">
        <v>125</v>
      </c>
      <c r="B126">
        <f t="shared" si="5"/>
        <v>542941390.62474501</v>
      </c>
      <c r="C126">
        <f t="shared" si="6"/>
        <v>597235529.68721962</v>
      </c>
    </row>
    <row r="127" spans="1:3" x14ac:dyDescent="0.25">
      <c r="A127">
        <v>126</v>
      </c>
      <c r="B127">
        <f t="shared" si="5"/>
        <v>597235529.68721962</v>
      </c>
      <c r="C127">
        <f t="shared" si="6"/>
        <v>656959082.65594161</v>
      </c>
    </row>
    <row r="128" spans="1:3" x14ac:dyDescent="0.25">
      <c r="A128">
        <v>127</v>
      </c>
      <c r="B128">
        <f t="shared" si="5"/>
        <v>656959082.65594161</v>
      </c>
      <c r="C128">
        <f t="shared" si="6"/>
        <v>722654990.92153585</v>
      </c>
    </row>
    <row r="129" spans="1:3" x14ac:dyDescent="0.25">
      <c r="A129">
        <v>128</v>
      </c>
      <c r="B129">
        <f t="shared" si="5"/>
        <v>722654990.92153585</v>
      </c>
      <c r="C129">
        <f t="shared" si="6"/>
        <v>794920490.01368952</v>
      </c>
    </row>
    <row r="130" spans="1:3" x14ac:dyDescent="0.25">
      <c r="A130">
        <v>129</v>
      </c>
      <c r="B130">
        <f t="shared" si="5"/>
        <v>794920490.01368952</v>
      </c>
      <c r="C130">
        <f t="shared" si="6"/>
        <v>874412539.01505852</v>
      </c>
    </row>
    <row r="131" spans="1:3" x14ac:dyDescent="0.25">
      <c r="A131">
        <v>130</v>
      </c>
      <c r="B131">
        <f t="shared" si="5"/>
        <v>874412539.01505852</v>
      </c>
      <c r="C131">
        <f t="shared" si="6"/>
        <v>961853792.91656446</v>
      </c>
    </row>
    <row r="132" spans="1:3" x14ac:dyDescent="0.25">
      <c r="A132">
        <v>131</v>
      </c>
      <c r="B132">
        <f t="shared" si="5"/>
        <v>961853792.91656446</v>
      </c>
      <c r="C132">
        <f t="shared" si="6"/>
        <v>1058039172.208221</v>
      </c>
    </row>
    <row r="133" spans="1:3" x14ac:dyDescent="0.25">
      <c r="A133">
        <v>132</v>
      </c>
      <c r="B133">
        <f t="shared" si="5"/>
        <v>1058039172.208221</v>
      </c>
      <c r="C133">
        <f t="shared" si="6"/>
        <v>1163843089.4290431</v>
      </c>
    </row>
    <row r="134" spans="1:3" x14ac:dyDescent="0.25">
      <c r="A134">
        <v>133</v>
      </c>
      <c r="B134">
        <f t="shared" si="5"/>
        <v>1163843089.4290431</v>
      </c>
      <c r="C134">
        <f t="shared" si="6"/>
        <v>1280227398.3719475</v>
      </c>
    </row>
    <row r="135" spans="1:3" x14ac:dyDescent="0.25">
      <c r="A135">
        <v>134</v>
      </c>
      <c r="B135">
        <f t="shared" si="5"/>
        <v>1280227398.3719475</v>
      </c>
      <c r="C135">
        <f t="shared" si="6"/>
        <v>1408250138.2091424</v>
      </c>
    </row>
    <row r="136" spans="1:3" x14ac:dyDescent="0.25">
      <c r="A136">
        <v>135</v>
      </c>
      <c r="B136">
        <f t="shared" si="5"/>
        <v>1408250138.2091424</v>
      </c>
      <c r="C136">
        <f t="shared" si="6"/>
        <v>1549075152.0300567</v>
      </c>
    </row>
    <row r="137" spans="1:3" x14ac:dyDescent="0.25">
      <c r="A137">
        <v>136</v>
      </c>
      <c r="B137">
        <f t="shared" si="5"/>
        <v>1549075152.0300567</v>
      </c>
      <c r="C137">
        <f t="shared" si="6"/>
        <v>1703982667.2330625</v>
      </c>
    </row>
    <row r="138" spans="1:3" x14ac:dyDescent="0.25">
      <c r="A138">
        <v>137</v>
      </c>
      <c r="B138">
        <f t="shared" si="5"/>
        <v>1703982667.2330625</v>
      </c>
      <c r="C138">
        <f t="shared" si="6"/>
        <v>1874380933.9563689</v>
      </c>
    </row>
    <row r="139" spans="1:3" x14ac:dyDescent="0.25">
      <c r="A139">
        <v>138</v>
      </c>
      <c r="B139">
        <f t="shared" si="5"/>
        <v>1874380933.9563689</v>
      </c>
      <c r="C139">
        <f t="shared" si="6"/>
        <v>2061819027.352006</v>
      </c>
    </row>
    <row r="140" spans="1:3" x14ac:dyDescent="0.25">
      <c r="A140">
        <v>139</v>
      </c>
      <c r="B140">
        <f t="shared" si="5"/>
        <v>2061819027.352006</v>
      </c>
      <c r="C140">
        <f t="shared" si="6"/>
        <v>2268000930.0872068</v>
      </c>
    </row>
    <row r="141" spans="1:3" x14ac:dyDescent="0.25">
      <c r="A141">
        <v>140</v>
      </c>
      <c r="B141">
        <f t="shared" si="5"/>
        <v>2268000930.0872068</v>
      </c>
      <c r="C141">
        <f t="shared" si="6"/>
        <v>2494801023.0959277</v>
      </c>
    </row>
    <row r="142" spans="1:3" x14ac:dyDescent="0.25">
      <c r="A142">
        <v>141</v>
      </c>
      <c r="B142">
        <f t="shared" si="5"/>
        <v>2494801023.0959277</v>
      </c>
      <c r="C142">
        <f t="shared" si="6"/>
        <v>2744281125.4055209</v>
      </c>
    </row>
    <row r="143" spans="1:3" x14ac:dyDescent="0.25">
      <c r="A143">
        <v>142</v>
      </c>
      <c r="B143">
        <f t="shared" si="5"/>
        <v>2744281125.4055209</v>
      </c>
      <c r="C143">
        <f t="shared" si="6"/>
        <v>3018709237.9460731</v>
      </c>
    </row>
    <row r="144" spans="1:3" x14ac:dyDescent="0.25">
      <c r="A144">
        <v>143</v>
      </c>
      <c r="B144">
        <f t="shared" si="5"/>
        <v>3018709237.9460731</v>
      </c>
      <c r="C144">
        <f t="shared" si="6"/>
        <v>3320580161.7406807</v>
      </c>
    </row>
    <row r="145" spans="1:3" x14ac:dyDescent="0.25">
      <c r="A145">
        <v>144</v>
      </c>
      <c r="B145">
        <f t="shared" si="5"/>
        <v>3320580161.7406807</v>
      </c>
      <c r="C145">
        <f t="shared" si="6"/>
        <v>3652638177.9147491</v>
      </c>
    </row>
    <row r="146" spans="1:3" x14ac:dyDescent="0.25">
      <c r="A146">
        <v>145</v>
      </c>
      <c r="B146">
        <f t="shared" si="5"/>
        <v>3652638177.9147491</v>
      </c>
      <c r="C146">
        <f t="shared" si="6"/>
        <v>4017901995.7062244</v>
      </c>
    </row>
    <row r="147" spans="1:3" x14ac:dyDescent="0.25">
      <c r="A147">
        <v>146</v>
      </c>
      <c r="B147">
        <f t="shared" si="5"/>
        <v>4017901995.7062244</v>
      </c>
      <c r="C147">
        <f t="shared" si="6"/>
        <v>4419692195.2768469</v>
      </c>
    </row>
    <row r="148" spans="1:3" x14ac:dyDescent="0.25">
      <c r="A148">
        <v>147</v>
      </c>
      <c r="B148">
        <f t="shared" si="5"/>
        <v>4419692195.2768469</v>
      </c>
      <c r="C148">
        <f t="shared" si="6"/>
        <v>4861661414.8045321</v>
      </c>
    </row>
    <row r="149" spans="1:3" x14ac:dyDescent="0.25">
      <c r="A149">
        <v>148</v>
      </c>
      <c r="B149">
        <f t="shared" si="5"/>
        <v>4861661414.8045321</v>
      </c>
      <c r="C149">
        <f t="shared" si="6"/>
        <v>5347827556.2849855</v>
      </c>
    </row>
    <row r="150" spans="1:3" x14ac:dyDescent="0.25">
      <c r="A150">
        <v>149</v>
      </c>
      <c r="B150">
        <f t="shared" si="5"/>
        <v>5347827556.2849855</v>
      </c>
      <c r="C150">
        <f t="shared" si="6"/>
        <v>5882610311.9134846</v>
      </c>
    </row>
    <row r="151" spans="1:3" x14ac:dyDescent="0.25">
      <c r="A151">
        <v>150</v>
      </c>
      <c r="B151">
        <f t="shared" si="5"/>
        <v>5882610311.9134846</v>
      </c>
      <c r="C151">
        <f t="shared" si="6"/>
        <v>6470871343.1048336</v>
      </c>
    </row>
    <row r="152" spans="1:3" x14ac:dyDescent="0.25">
      <c r="A152">
        <v>151</v>
      </c>
      <c r="B152">
        <f t="shared" si="5"/>
        <v>6470871343.1048336</v>
      </c>
      <c r="C152">
        <f t="shared" si="6"/>
        <v>7117958477.4153175</v>
      </c>
    </row>
    <row r="153" spans="1:3" x14ac:dyDescent="0.25">
      <c r="A153">
        <v>152</v>
      </c>
      <c r="B153">
        <f t="shared" si="5"/>
        <v>7117958477.4153175</v>
      </c>
      <c r="C153">
        <f t="shared" si="6"/>
        <v>7829754325.1568499</v>
      </c>
    </row>
    <row r="154" spans="1:3" x14ac:dyDescent="0.25">
      <c r="A154">
        <v>153</v>
      </c>
      <c r="B154">
        <f t="shared" si="5"/>
        <v>7829754325.1568499</v>
      </c>
      <c r="C154">
        <f t="shared" si="6"/>
        <v>8612729757.6725349</v>
      </c>
    </row>
    <row r="155" spans="1:3" x14ac:dyDescent="0.25">
      <c r="A155">
        <v>154</v>
      </c>
      <c r="B155">
        <f t="shared" si="5"/>
        <v>8612729757.6725349</v>
      </c>
      <c r="C155">
        <f t="shared" si="6"/>
        <v>9474002733.4397888</v>
      </c>
    </row>
    <row r="156" spans="1:3" x14ac:dyDescent="0.25">
      <c r="A156">
        <v>155</v>
      </c>
      <c r="B156">
        <f t="shared" si="5"/>
        <v>9474002733.4397888</v>
      </c>
      <c r="C156">
        <f t="shared" si="6"/>
        <v>10421403006.783768</v>
      </c>
    </row>
    <row r="157" spans="1:3" x14ac:dyDescent="0.25">
      <c r="A157">
        <v>156</v>
      </c>
      <c r="B157">
        <f t="shared" si="5"/>
        <v>10421403006.783768</v>
      </c>
      <c r="C157">
        <f t="shared" si="6"/>
        <v>11463543307.462145</v>
      </c>
    </row>
    <row r="158" spans="1:3" x14ac:dyDescent="0.25">
      <c r="A158">
        <v>157</v>
      </c>
      <c r="B158">
        <f t="shared" si="5"/>
        <v>11463543307.462145</v>
      </c>
      <c r="C158">
        <f t="shared" si="6"/>
        <v>12609897638.208361</v>
      </c>
    </row>
    <row r="159" spans="1:3" x14ac:dyDescent="0.25">
      <c r="A159">
        <v>158</v>
      </c>
      <c r="B159">
        <f t="shared" si="5"/>
        <v>12609897638.208361</v>
      </c>
      <c r="C159">
        <f t="shared" si="6"/>
        <v>13870887402.029198</v>
      </c>
    </row>
    <row r="160" spans="1:3" x14ac:dyDescent="0.25">
      <c r="A160">
        <v>159</v>
      </c>
      <c r="B160">
        <f t="shared" si="5"/>
        <v>13870887402.029198</v>
      </c>
      <c r="C160">
        <f t="shared" si="6"/>
        <v>15257976142.232119</v>
      </c>
    </row>
    <row r="161" spans="1:3" x14ac:dyDescent="0.25">
      <c r="A161">
        <v>160</v>
      </c>
      <c r="B161">
        <f t="shared" si="5"/>
        <v>15257976142.232119</v>
      </c>
      <c r="C161">
        <f t="shared" si="6"/>
        <v>16783773756.455332</v>
      </c>
    </row>
    <row r="162" spans="1:3" x14ac:dyDescent="0.25">
      <c r="A162">
        <v>161</v>
      </c>
      <c r="B162">
        <f t="shared" si="5"/>
        <v>16783773756.455332</v>
      </c>
      <c r="C162">
        <f t="shared" si="6"/>
        <v>18462151132.100868</v>
      </c>
    </row>
    <row r="163" spans="1:3" x14ac:dyDescent="0.25">
      <c r="A163">
        <v>162</v>
      </c>
      <c r="B163">
        <f t="shared" si="5"/>
        <v>18462151132.100868</v>
      </c>
      <c r="C163">
        <f t="shared" si="6"/>
        <v>20308366245.310955</v>
      </c>
    </row>
    <row r="164" spans="1:3" x14ac:dyDescent="0.25">
      <c r="A164">
        <v>163</v>
      </c>
      <c r="B164">
        <f t="shared" si="5"/>
        <v>20308366245.310955</v>
      </c>
      <c r="C164">
        <f t="shared" si="6"/>
        <v>22339202869.842052</v>
      </c>
    </row>
    <row r="165" spans="1:3" x14ac:dyDescent="0.25">
      <c r="A165">
        <v>164</v>
      </c>
      <c r="B165">
        <f t="shared" si="5"/>
        <v>22339202869.842052</v>
      </c>
      <c r="C165">
        <f t="shared" si="6"/>
        <v>24573123156.82626</v>
      </c>
    </row>
    <row r="166" spans="1:3" x14ac:dyDescent="0.25">
      <c r="A166">
        <v>165</v>
      </c>
      <c r="B166">
        <f t="shared" si="5"/>
        <v>24573123156.82626</v>
      </c>
      <c r="C166">
        <f t="shared" si="6"/>
        <v>27030435472.508888</v>
      </c>
    </row>
    <row r="167" spans="1:3" x14ac:dyDescent="0.25">
      <c r="A167">
        <v>166</v>
      </c>
      <c r="B167">
        <f t="shared" si="5"/>
        <v>27030435472.508888</v>
      </c>
      <c r="C167">
        <f t="shared" si="6"/>
        <v>29733479019.759781</v>
      </c>
    </row>
    <row r="168" spans="1:3" x14ac:dyDescent="0.25">
      <c r="A168">
        <v>167</v>
      </c>
      <c r="B168">
        <f t="shared" si="5"/>
        <v>29733479019.759781</v>
      </c>
      <c r="C168">
        <f t="shared" si="6"/>
        <v>32706826921.73576</v>
      </c>
    </row>
    <row r="169" spans="1:3" x14ac:dyDescent="0.25">
      <c r="A169">
        <v>168</v>
      </c>
      <c r="B169">
        <f t="shared" ref="B169:B232" si="7">C168</f>
        <v>32706826921.73576</v>
      </c>
      <c r="C169">
        <f t="shared" ref="C169:C232" si="8">B169*1.1</f>
        <v>35977509613.90934</v>
      </c>
    </row>
    <row r="170" spans="1:3" x14ac:dyDescent="0.25">
      <c r="A170">
        <v>169</v>
      </c>
      <c r="B170">
        <f t="shared" si="7"/>
        <v>35977509613.90934</v>
      </c>
      <c r="C170">
        <f t="shared" si="8"/>
        <v>39575260575.300278</v>
      </c>
    </row>
    <row r="171" spans="1:3" x14ac:dyDescent="0.25">
      <c r="A171">
        <v>170</v>
      </c>
      <c r="B171">
        <f t="shared" si="7"/>
        <v>39575260575.300278</v>
      </c>
      <c r="C171">
        <f t="shared" si="8"/>
        <v>43532786632.830307</v>
      </c>
    </row>
    <row r="172" spans="1:3" x14ac:dyDescent="0.25">
      <c r="A172">
        <v>171</v>
      </c>
      <c r="B172">
        <f t="shared" si="7"/>
        <v>43532786632.830307</v>
      </c>
      <c r="C172">
        <f t="shared" si="8"/>
        <v>47886065296.113342</v>
      </c>
    </row>
    <row r="173" spans="1:3" x14ac:dyDescent="0.25">
      <c r="A173">
        <v>172</v>
      </c>
      <c r="B173">
        <f t="shared" si="7"/>
        <v>47886065296.113342</v>
      </c>
      <c r="C173">
        <f t="shared" si="8"/>
        <v>52674671825.724678</v>
      </c>
    </row>
    <row r="174" spans="1:3" x14ac:dyDescent="0.25">
      <c r="A174">
        <v>173</v>
      </c>
      <c r="B174">
        <f t="shared" si="7"/>
        <v>52674671825.724678</v>
      </c>
      <c r="C174">
        <f t="shared" si="8"/>
        <v>57942139008.29715</v>
      </c>
    </row>
    <row r="175" spans="1:3" x14ac:dyDescent="0.25">
      <c r="A175">
        <v>174</v>
      </c>
      <c r="B175">
        <f t="shared" si="7"/>
        <v>57942139008.29715</v>
      </c>
      <c r="C175">
        <f t="shared" si="8"/>
        <v>63736352909.126869</v>
      </c>
    </row>
    <row r="176" spans="1:3" x14ac:dyDescent="0.25">
      <c r="A176">
        <v>175</v>
      </c>
      <c r="B176">
        <f t="shared" si="7"/>
        <v>63736352909.126869</v>
      </c>
      <c r="C176">
        <f t="shared" si="8"/>
        <v>70109988200.039566</v>
      </c>
    </row>
    <row r="177" spans="1:3" x14ac:dyDescent="0.25">
      <c r="A177">
        <v>176</v>
      </c>
      <c r="B177">
        <f t="shared" si="7"/>
        <v>70109988200.039566</v>
      </c>
      <c r="C177">
        <f t="shared" si="8"/>
        <v>77120987020.043533</v>
      </c>
    </row>
    <row r="178" spans="1:3" x14ac:dyDescent="0.25">
      <c r="A178">
        <v>177</v>
      </c>
      <c r="B178">
        <f t="shared" si="7"/>
        <v>77120987020.043533</v>
      </c>
      <c r="C178">
        <f t="shared" si="8"/>
        <v>84833085722.047897</v>
      </c>
    </row>
    <row r="179" spans="1:3" x14ac:dyDescent="0.25">
      <c r="A179">
        <v>178</v>
      </c>
      <c r="B179">
        <f t="shared" si="7"/>
        <v>84833085722.047897</v>
      </c>
      <c r="C179">
        <f t="shared" si="8"/>
        <v>93316394294.252701</v>
      </c>
    </row>
    <row r="180" spans="1:3" x14ac:dyDescent="0.25">
      <c r="A180">
        <v>179</v>
      </c>
      <c r="B180">
        <f t="shared" si="7"/>
        <v>93316394294.252701</v>
      </c>
      <c r="C180">
        <f t="shared" si="8"/>
        <v>102648033723.67798</v>
      </c>
    </row>
    <row r="181" spans="1:3" x14ac:dyDescent="0.25">
      <c r="A181">
        <v>180</v>
      </c>
      <c r="B181">
        <f t="shared" si="7"/>
        <v>102648033723.67798</v>
      </c>
      <c r="C181">
        <f t="shared" si="8"/>
        <v>112912837096.04579</v>
      </c>
    </row>
    <row r="182" spans="1:3" x14ac:dyDescent="0.25">
      <c r="A182">
        <v>181</v>
      </c>
      <c r="B182">
        <f t="shared" si="7"/>
        <v>112912837096.04579</v>
      </c>
      <c r="C182">
        <f t="shared" si="8"/>
        <v>124204120805.65038</v>
      </c>
    </row>
    <row r="183" spans="1:3" x14ac:dyDescent="0.25">
      <c r="A183">
        <v>182</v>
      </c>
      <c r="B183">
        <f t="shared" si="7"/>
        <v>124204120805.65038</v>
      </c>
      <c r="C183">
        <f t="shared" si="8"/>
        <v>136624532886.21542</v>
      </c>
    </row>
    <row r="184" spans="1:3" x14ac:dyDescent="0.25">
      <c r="A184">
        <v>183</v>
      </c>
      <c r="B184">
        <f t="shared" si="7"/>
        <v>136624532886.21542</v>
      </c>
      <c r="C184">
        <f t="shared" si="8"/>
        <v>150286986174.83698</v>
      </c>
    </row>
    <row r="185" spans="1:3" x14ac:dyDescent="0.25">
      <c r="A185">
        <v>184</v>
      </c>
      <c r="B185">
        <f t="shared" si="7"/>
        <v>150286986174.83698</v>
      </c>
      <c r="C185">
        <f t="shared" si="8"/>
        <v>165315684792.32068</v>
      </c>
    </row>
    <row r="186" spans="1:3" x14ac:dyDescent="0.25">
      <c r="A186">
        <v>185</v>
      </c>
      <c r="B186">
        <f t="shared" si="7"/>
        <v>165315684792.32068</v>
      </c>
      <c r="C186">
        <f t="shared" si="8"/>
        <v>181847253271.55276</v>
      </c>
    </row>
    <row r="187" spans="1:3" x14ac:dyDescent="0.25">
      <c r="A187">
        <v>186</v>
      </c>
      <c r="B187">
        <f t="shared" si="7"/>
        <v>181847253271.55276</v>
      </c>
      <c r="C187">
        <f t="shared" si="8"/>
        <v>200031978598.70807</v>
      </c>
    </row>
    <row r="188" spans="1:3" x14ac:dyDescent="0.25">
      <c r="A188">
        <v>187</v>
      </c>
      <c r="B188">
        <f t="shared" si="7"/>
        <v>200031978598.70807</v>
      </c>
      <c r="C188">
        <f t="shared" si="8"/>
        <v>220035176458.57889</v>
      </c>
    </row>
    <row r="189" spans="1:3" x14ac:dyDescent="0.25">
      <c r="A189">
        <v>188</v>
      </c>
      <c r="B189">
        <f t="shared" si="7"/>
        <v>220035176458.57889</v>
      </c>
      <c r="C189">
        <f t="shared" si="8"/>
        <v>242038694104.4368</v>
      </c>
    </row>
    <row r="190" spans="1:3" x14ac:dyDescent="0.25">
      <c r="A190">
        <v>189</v>
      </c>
      <c r="B190">
        <f t="shared" si="7"/>
        <v>242038694104.4368</v>
      </c>
      <c r="C190">
        <f t="shared" si="8"/>
        <v>266242563514.88049</v>
      </c>
    </row>
    <row r="191" spans="1:3" x14ac:dyDescent="0.25">
      <c r="A191">
        <v>190</v>
      </c>
      <c r="B191">
        <f t="shared" si="7"/>
        <v>266242563514.88049</v>
      </c>
      <c r="C191">
        <f t="shared" si="8"/>
        <v>292866819866.36859</v>
      </c>
    </row>
    <row r="192" spans="1:3" x14ac:dyDescent="0.25">
      <c r="A192">
        <v>191</v>
      </c>
      <c r="B192">
        <f t="shared" si="7"/>
        <v>292866819866.36859</v>
      </c>
      <c r="C192">
        <f t="shared" si="8"/>
        <v>322153501853.00549</v>
      </c>
    </row>
    <row r="193" spans="1:3" x14ac:dyDescent="0.25">
      <c r="A193">
        <v>192</v>
      </c>
      <c r="B193">
        <f t="shared" si="7"/>
        <v>322153501853.00549</v>
      </c>
      <c r="C193">
        <f t="shared" si="8"/>
        <v>354368852038.30609</v>
      </c>
    </row>
    <row r="194" spans="1:3" x14ac:dyDescent="0.25">
      <c r="A194">
        <v>193</v>
      </c>
      <c r="B194">
        <f t="shared" si="7"/>
        <v>354368852038.30609</v>
      </c>
      <c r="C194">
        <f t="shared" si="8"/>
        <v>389805737242.13672</v>
      </c>
    </row>
    <row r="195" spans="1:3" x14ac:dyDescent="0.25">
      <c r="A195">
        <v>194</v>
      </c>
      <c r="B195">
        <f t="shared" si="7"/>
        <v>389805737242.13672</v>
      </c>
      <c r="C195">
        <f t="shared" si="8"/>
        <v>428786310966.3504</v>
      </c>
    </row>
    <row r="196" spans="1:3" x14ac:dyDescent="0.25">
      <c r="A196">
        <v>195</v>
      </c>
      <c r="B196">
        <f t="shared" si="7"/>
        <v>428786310966.3504</v>
      </c>
      <c r="C196">
        <f t="shared" si="8"/>
        <v>471664942062.98547</v>
      </c>
    </row>
    <row r="197" spans="1:3" x14ac:dyDescent="0.25">
      <c r="A197">
        <v>196</v>
      </c>
      <c r="B197">
        <f t="shared" si="7"/>
        <v>471664942062.98547</v>
      </c>
      <c r="C197">
        <f t="shared" si="8"/>
        <v>518831436269.28406</v>
      </c>
    </row>
    <row r="198" spans="1:3" x14ac:dyDescent="0.25">
      <c r="A198">
        <v>197</v>
      </c>
      <c r="B198">
        <f t="shared" si="7"/>
        <v>518831436269.28406</v>
      </c>
      <c r="C198">
        <f t="shared" si="8"/>
        <v>570714579896.21252</v>
      </c>
    </row>
    <row r="199" spans="1:3" x14ac:dyDescent="0.25">
      <c r="A199">
        <v>198</v>
      </c>
      <c r="B199">
        <f t="shared" si="7"/>
        <v>570714579896.21252</v>
      </c>
      <c r="C199">
        <f t="shared" si="8"/>
        <v>627786037885.83386</v>
      </c>
    </row>
    <row r="200" spans="1:3" x14ac:dyDescent="0.25">
      <c r="A200">
        <v>199</v>
      </c>
      <c r="B200">
        <f t="shared" si="7"/>
        <v>627786037885.83386</v>
      </c>
      <c r="C200">
        <f t="shared" si="8"/>
        <v>690564641674.41736</v>
      </c>
    </row>
    <row r="201" spans="1:3" x14ac:dyDescent="0.25">
      <c r="A201">
        <v>200</v>
      </c>
      <c r="B201">
        <f t="shared" si="7"/>
        <v>690564641674.41736</v>
      </c>
      <c r="C201">
        <f t="shared" si="8"/>
        <v>759621105841.85913</v>
      </c>
    </row>
    <row r="202" spans="1:3" x14ac:dyDescent="0.25">
      <c r="A202">
        <v>201</v>
      </c>
      <c r="B202">
        <f t="shared" si="7"/>
        <v>759621105841.85913</v>
      </c>
      <c r="C202">
        <f t="shared" si="8"/>
        <v>835583216426.04517</v>
      </c>
    </row>
    <row r="203" spans="1:3" x14ac:dyDescent="0.25">
      <c r="A203">
        <v>202</v>
      </c>
      <c r="B203">
        <f t="shared" si="7"/>
        <v>835583216426.04517</v>
      </c>
      <c r="C203">
        <f t="shared" si="8"/>
        <v>919141538068.64978</v>
      </c>
    </row>
    <row r="204" spans="1:3" x14ac:dyDescent="0.25">
      <c r="A204">
        <v>203</v>
      </c>
      <c r="B204">
        <f t="shared" si="7"/>
        <v>919141538068.64978</v>
      </c>
      <c r="C204">
        <f t="shared" si="8"/>
        <v>1011055691875.5149</v>
      </c>
    </row>
    <row r="205" spans="1:3" x14ac:dyDescent="0.25">
      <c r="A205">
        <v>204</v>
      </c>
      <c r="B205">
        <f t="shared" si="7"/>
        <v>1011055691875.5149</v>
      </c>
      <c r="C205">
        <f t="shared" si="8"/>
        <v>1112161261063.0664</v>
      </c>
    </row>
    <row r="206" spans="1:3" x14ac:dyDescent="0.25">
      <c r="A206">
        <v>205</v>
      </c>
      <c r="B206">
        <f t="shared" si="7"/>
        <v>1112161261063.0664</v>
      </c>
      <c r="C206">
        <f t="shared" si="8"/>
        <v>1223377387169.373</v>
      </c>
    </row>
    <row r="207" spans="1:3" x14ac:dyDescent="0.25">
      <c r="A207">
        <v>206</v>
      </c>
      <c r="B207">
        <f t="shared" si="7"/>
        <v>1223377387169.373</v>
      </c>
      <c r="C207">
        <f t="shared" si="8"/>
        <v>1345715125886.3105</v>
      </c>
    </row>
    <row r="208" spans="1:3" x14ac:dyDescent="0.25">
      <c r="A208">
        <v>207</v>
      </c>
      <c r="B208">
        <f t="shared" si="7"/>
        <v>1345715125886.3105</v>
      </c>
      <c r="C208">
        <f t="shared" si="8"/>
        <v>1480286638474.9417</v>
      </c>
    </row>
    <row r="209" spans="1:3" x14ac:dyDescent="0.25">
      <c r="A209">
        <v>208</v>
      </c>
      <c r="B209">
        <f t="shared" si="7"/>
        <v>1480286638474.9417</v>
      </c>
      <c r="C209">
        <f t="shared" si="8"/>
        <v>1628315302322.436</v>
      </c>
    </row>
    <row r="210" spans="1:3" x14ac:dyDescent="0.25">
      <c r="A210">
        <v>209</v>
      </c>
      <c r="B210">
        <f t="shared" si="7"/>
        <v>1628315302322.436</v>
      </c>
      <c r="C210">
        <f t="shared" si="8"/>
        <v>1791146832554.6797</v>
      </c>
    </row>
    <row r="211" spans="1:3" x14ac:dyDescent="0.25">
      <c r="A211">
        <v>210</v>
      </c>
      <c r="B211">
        <f t="shared" si="7"/>
        <v>1791146832554.6797</v>
      </c>
      <c r="C211">
        <f t="shared" si="8"/>
        <v>1970261515810.1477</v>
      </c>
    </row>
    <row r="212" spans="1:3" x14ac:dyDescent="0.25">
      <c r="A212">
        <v>211</v>
      </c>
      <c r="B212">
        <f t="shared" si="7"/>
        <v>1970261515810.1477</v>
      </c>
      <c r="C212">
        <f t="shared" si="8"/>
        <v>2167287667391.1626</v>
      </c>
    </row>
    <row r="213" spans="1:3" x14ac:dyDescent="0.25">
      <c r="A213">
        <v>212</v>
      </c>
      <c r="B213">
        <f t="shared" si="7"/>
        <v>2167287667391.1626</v>
      </c>
      <c r="C213">
        <f t="shared" si="8"/>
        <v>2384016434130.2788</v>
      </c>
    </row>
    <row r="214" spans="1:3" x14ac:dyDescent="0.25">
      <c r="A214">
        <v>213</v>
      </c>
      <c r="B214">
        <f t="shared" si="7"/>
        <v>2384016434130.2788</v>
      </c>
      <c r="C214">
        <f t="shared" si="8"/>
        <v>2622418077543.3071</v>
      </c>
    </row>
    <row r="215" spans="1:3" x14ac:dyDescent="0.25">
      <c r="A215">
        <v>214</v>
      </c>
      <c r="B215">
        <f t="shared" si="7"/>
        <v>2622418077543.3071</v>
      </c>
      <c r="C215">
        <f t="shared" si="8"/>
        <v>2884659885297.6382</v>
      </c>
    </row>
    <row r="216" spans="1:3" x14ac:dyDescent="0.25">
      <c r="A216">
        <v>215</v>
      </c>
      <c r="B216">
        <f t="shared" si="7"/>
        <v>2884659885297.6382</v>
      </c>
      <c r="C216">
        <f t="shared" si="8"/>
        <v>3173125873827.4023</v>
      </c>
    </row>
    <row r="217" spans="1:3" x14ac:dyDescent="0.25">
      <c r="A217">
        <v>216</v>
      </c>
      <c r="B217">
        <f t="shared" si="7"/>
        <v>3173125873827.4023</v>
      </c>
      <c r="C217">
        <f t="shared" si="8"/>
        <v>3490438461210.1431</v>
      </c>
    </row>
    <row r="218" spans="1:3" x14ac:dyDescent="0.25">
      <c r="A218">
        <v>217</v>
      </c>
      <c r="B218">
        <f t="shared" si="7"/>
        <v>3490438461210.1431</v>
      </c>
      <c r="C218">
        <f t="shared" si="8"/>
        <v>3839482307331.1577</v>
      </c>
    </row>
    <row r="219" spans="1:3" x14ac:dyDescent="0.25">
      <c r="A219">
        <v>218</v>
      </c>
      <c r="B219">
        <f t="shared" si="7"/>
        <v>3839482307331.1577</v>
      </c>
      <c r="C219">
        <f t="shared" si="8"/>
        <v>4223430538064.2739</v>
      </c>
    </row>
    <row r="220" spans="1:3" x14ac:dyDescent="0.25">
      <c r="A220">
        <v>219</v>
      </c>
      <c r="B220">
        <f t="shared" si="7"/>
        <v>4223430538064.2739</v>
      </c>
      <c r="C220">
        <f t="shared" si="8"/>
        <v>4645773591870.7021</v>
      </c>
    </row>
    <row r="221" spans="1:3" x14ac:dyDescent="0.25">
      <c r="A221">
        <v>220</v>
      </c>
      <c r="B221">
        <f t="shared" si="7"/>
        <v>4645773591870.7021</v>
      </c>
      <c r="C221">
        <f t="shared" si="8"/>
        <v>5110350951057.7725</v>
      </c>
    </row>
    <row r="222" spans="1:3" x14ac:dyDescent="0.25">
      <c r="A222">
        <v>221</v>
      </c>
      <c r="B222">
        <f t="shared" si="7"/>
        <v>5110350951057.7725</v>
      </c>
      <c r="C222">
        <f t="shared" si="8"/>
        <v>5621386046163.5498</v>
      </c>
    </row>
    <row r="223" spans="1:3" x14ac:dyDescent="0.25">
      <c r="A223">
        <v>222</v>
      </c>
      <c r="B223">
        <f t="shared" si="7"/>
        <v>5621386046163.5498</v>
      </c>
      <c r="C223">
        <f t="shared" si="8"/>
        <v>6183524650779.9053</v>
      </c>
    </row>
    <row r="224" spans="1:3" x14ac:dyDescent="0.25">
      <c r="A224">
        <v>223</v>
      </c>
      <c r="B224">
        <f t="shared" si="7"/>
        <v>6183524650779.9053</v>
      </c>
      <c r="C224">
        <f t="shared" si="8"/>
        <v>6801877115857.8965</v>
      </c>
    </row>
    <row r="225" spans="1:3" x14ac:dyDescent="0.25">
      <c r="A225">
        <v>224</v>
      </c>
      <c r="B225">
        <f t="shared" si="7"/>
        <v>6801877115857.8965</v>
      </c>
      <c r="C225">
        <f t="shared" si="8"/>
        <v>7482064827443.6865</v>
      </c>
    </row>
    <row r="226" spans="1:3" x14ac:dyDescent="0.25">
      <c r="A226">
        <v>225</v>
      </c>
      <c r="B226">
        <f t="shared" si="7"/>
        <v>7482064827443.6865</v>
      </c>
      <c r="C226">
        <f t="shared" si="8"/>
        <v>8230271310188.0557</v>
      </c>
    </row>
    <row r="227" spans="1:3" x14ac:dyDescent="0.25">
      <c r="A227">
        <v>226</v>
      </c>
      <c r="B227">
        <f t="shared" si="7"/>
        <v>8230271310188.0557</v>
      </c>
      <c r="C227">
        <f t="shared" si="8"/>
        <v>9053298441206.8613</v>
      </c>
    </row>
    <row r="228" spans="1:3" x14ac:dyDescent="0.25">
      <c r="A228">
        <v>227</v>
      </c>
      <c r="B228">
        <f t="shared" si="7"/>
        <v>9053298441206.8613</v>
      </c>
      <c r="C228">
        <f t="shared" si="8"/>
        <v>9958628285327.5488</v>
      </c>
    </row>
    <row r="229" spans="1:3" x14ac:dyDescent="0.25">
      <c r="A229">
        <v>228</v>
      </c>
      <c r="B229">
        <f t="shared" si="7"/>
        <v>9958628285327.5488</v>
      </c>
      <c r="C229">
        <f t="shared" si="8"/>
        <v>10954491113860.305</v>
      </c>
    </row>
    <row r="230" spans="1:3" x14ac:dyDescent="0.25">
      <c r="A230">
        <v>229</v>
      </c>
      <c r="B230">
        <f t="shared" si="7"/>
        <v>10954491113860.305</v>
      </c>
      <c r="C230">
        <f t="shared" si="8"/>
        <v>12049940225246.336</v>
      </c>
    </row>
    <row r="231" spans="1:3" x14ac:dyDescent="0.25">
      <c r="A231">
        <v>230</v>
      </c>
      <c r="B231">
        <f t="shared" si="7"/>
        <v>12049940225246.336</v>
      </c>
      <c r="C231">
        <f t="shared" si="8"/>
        <v>13254934247770.971</v>
      </c>
    </row>
    <row r="232" spans="1:3" x14ac:dyDescent="0.25">
      <c r="A232">
        <v>231</v>
      </c>
      <c r="B232">
        <f t="shared" si="7"/>
        <v>13254934247770.971</v>
      </c>
      <c r="C232">
        <f t="shared" si="8"/>
        <v>14580427672548.068</v>
      </c>
    </row>
    <row r="233" spans="1:3" x14ac:dyDescent="0.25">
      <c r="A233">
        <v>232</v>
      </c>
      <c r="B233">
        <f t="shared" ref="B233:B296" si="9">C232</f>
        <v>14580427672548.068</v>
      </c>
      <c r="C233">
        <f t="shared" ref="C233:C296" si="10">B233*1.1</f>
        <v>16038470439802.877</v>
      </c>
    </row>
    <row r="234" spans="1:3" x14ac:dyDescent="0.25">
      <c r="A234">
        <v>233</v>
      </c>
      <c r="B234">
        <f t="shared" si="9"/>
        <v>16038470439802.877</v>
      </c>
      <c r="C234">
        <f t="shared" si="10"/>
        <v>17642317483783.168</v>
      </c>
    </row>
    <row r="235" spans="1:3" x14ac:dyDescent="0.25">
      <c r="A235">
        <v>234</v>
      </c>
      <c r="B235">
        <f t="shared" si="9"/>
        <v>17642317483783.168</v>
      </c>
      <c r="C235">
        <f t="shared" si="10"/>
        <v>19406549232161.488</v>
      </c>
    </row>
    <row r="236" spans="1:3" x14ac:dyDescent="0.25">
      <c r="A236">
        <v>235</v>
      </c>
      <c r="B236">
        <f t="shared" si="9"/>
        <v>19406549232161.488</v>
      </c>
      <c r="C236">
        <f t="shared" si="10"/>
        <v>21347204155377.641</v>
      </c>
    </row>
    <row r="237" spans="1:3" x14ac:dyDescent="0.25">
      <c r="A237">
        <v>236</v>
      </c>
      <c r="B237">
        <f t="shared" si="9"/>
        <v>21347204155377.641</v>
      </c>
      <c r="C237">
        <f t="shared" si="10"/>
        <v>23481924570915.406</v>
      </c>
    </row>
    <row r="238" spans="1:3" x14ac:dyDescent="0.25">
      <c r="A238">
        <v>237</v>
      </c>
      <c r="B238">
        <f t="shared" si="9"/>
        <v>23481924570915.406</v>
      </c>
      <c r="C238">
        <f t="shared" si="10"/>
        <v>25830117028006.949</v>
      </c>
    </row>
    <row r="239" spans="1:3" x14ac:dyDescent="0.25">
      <c r="A239">
        <v>238</v>
      </c>
      <c r="B239">
        <f t="shared" si="9"/>
        <v>25830117028006.949</v>
      </c>
      <c r="C239">
        <f t="shared" si="10"/>
        <v>28413128730807.645</v>
      </c>
    </row>
    <row r="240" spans="1:3" x14ac:dyDescent="0.25">
      <c r="A240">
        <v>239</v>
      </c>
      <c r="B240">
        <f t="shared" si="9"/>
        <v>28413128730807.645</v>
      </c>
      <c r="C240">
        <f t="shared" si="10"/>
        <v>31254441603888.41</v>
      </c>
    </row>
    <row r="241" spans="1:3" x14ac:dyDescent="0.25">
      <c r="A241">
        <v>240</v>
      </c>
      <c r="B241">
        <f t="shared" si="9"/>
        <v>31254441603888.41</v>
      </c>
      <c r="C241">
        <f t="shared" si="10"/>
        <v>34379885764277.254</v>
      </c>
    </row>
    <row r="242" spans="1:3" x14ac:dyDescent="0.25">
      <c r="A242">
        <v>241</v>
      </c>
      <c r="B242">
        <f t="shared" si="9"/>
        <v>34379885764277.254</v>
      </c>
      <c r="C242">
        <f t="shared" si="10"/>
        <v>37817874340704.984</v>
      </c>
    </row>
    <row r="243" spans="1:3" x14ac:dyDescent="0.25">
      <c r="A243">
        <v>242</v>
      </c>
      <c r="B243">
        <f t="shared" si="9"/>
        <v>37817874340704.984</v>
      </c>
      <c r="C243">
        <f t="shared" si="10"/>
        <v>41599661774775.484</v>
      </c>
    </row>
    <row r="244" spans="1:3" x14ac:dyDescent="0.25">
      <c r="A244">
        <v>243</v>
      </c>
      <c r="B244">
        <f t="shared" si="9"/>
        <v>41599661774775.484</v>
      </c>
      <c r="C244">
        <f t="shared" si="10"/>
        <v>45759627952253.039</v>
      </c>
    </row>
    <row r="245" spans="1:3" x14ac:dyDescent="0.25">
      <c r="A245">
        <v>244</v>
      </c>
      <c r="B245">
        <f t="shared" si="9"/>
        <v>45759627952253.039</v>
      </c>
      <c r="C245">
        <f t="shared" si="10"/>
        <v>50335590747478.344</v>
      </c>
    </row>
    <row r="246" spans="1:3" x14ac:dyDescent="0.25">
      <c r="A246">
        <v>245</v>
      </c>
      <c r="B246">
        <f t="shared" si="9"/>
        <v>50335590747478.344</v>
      </c>
      <c r="C246">
        <f t="shared" si="10"/>
        <v>55369149822226.18</v>
      </c>
    </row>
    <row r="247" spans="1:3" x14ac:dyDescent="0.25">
      <c r="A247">
        <v>246</v>
      </c>
      <c r="B247">
        <f t="shared" si="9"/>
        <v>55369149822226.18</v>
      </c>
      <c r="C247">
        <f t="shared" si="10"/>
        <v>60906064804448.805</v>
      </c>
    </row>
    <row r="248" spans="1:3" x14ac:dyDescent="0.25">
      <c r="A248">
        <v>247</v>
      </c>
      <c r="B248">
        <f t="shared" si="9"/>
        <v>60906064804448.805</v>
      </c>
      <c r="C248">
        <f t="shared" si="10"/>
        <v>66996671284893.688</v>
      </c>
    </row>
    <row r="249" spans="1:3" x14ac:dyDescent="0.25">
      <c r="A249">
        <v>248</v>
      </c>
      <c r="B249">
        <f t="shared" si="9"/>
        <v>66996671284893.688</v>
      </c>
      <c r="C249">
        <f t="shared" si="10"/>
        <v>73696338413383.063</v>
      </c>
    </row>
    <row r="250" spans="1:3" x14ac:dyDescent="0.25">
      <c r="A250">
        <v>249</v>
      </c>
      <c r="B250">
        <f t="shared" si="9"/>
        <v>73696338413383.063</v>
      </c>
      <c r="C250">
        <f t="shared" si="10"/>
        <v>81065972254721.375</v>
      </c>
    </row>
    <row r="251" spans="1:3" x14ac:dyDescent="0.25">
      <c r="A251">
        <v>250</v>
      </c>
      <c r="B251">
        <f t="shared" si="9"/>
        <v>81065972254721.375</v>
      </c>
      <c r="C251">
        <f t="shared" si="10"/>
        <v>89172569480193.516</v>
      </c>
    </row>
    <row r="252" spans="1:3" x14ac:dyDescent="0.25">
      <c r="A252">
        <v>251</v>
      </c>
      <c r="B252">
        <f t="shared" si="9"/>
        <v>89172569480193.516</v>
      </c>
      <c r="C252">
        <f t="shared" si="10"/>
        <v>98089826428212.875</v>
      </c>
    </row>
    <row r="253" spans="1:3" x14ac:dyDescent="0.25">
      <c r="A253">
        <v>252</v>
      </c>
      <c r="B253">
        <f t="shared" si="9"/>
        <v>98089826428212.875</v>
      </c>
      <c r="C253">
        <f t="shared" si="10"/>
        <v>107898809071034.17</v>
      </c>
    </row>
    <row r="254" spans="1:3" x14ac:dyDescent="0.25">
      <c r="A254">
        <v>253</v>
      </c>
      <c r="B254">
        <f t="shared" si="9"/>
        <v>107898809071034.17</v>
      </c>
      <c r="C254">
        <f t="shared" si="10"/>
        <v>118688689978137.59</v>
      </c>
    </row>
    <row r="255" spans="1:3" x14ac:dyDescent="0.25">
      <c r="A255">
        <v>254</v>
      </c>
      <c r="B255">
        <f t="shared" si="9"/>
        <v>118688689978137.59</v>
      </c>
      <c r="C255">
        <f t="shared" si="10"/>
        <v>130557558975951.36</v>
      </c>
    </row>
    <row r="256" spans="1:3" x14ac:dyDescent="0.25">
      <c r="A256">
        <v>255</v>
      </c>
      <c r="B256">
        <f t="shared" si="9"/>
        <v>130557558975951.36</v>
      </c>
      <c r="C256">
        <f t="shared" si="10"/>
        <v>143613314873546.5</v>
      </c>
    </row>
    <row r="257" spans="1:3" x14ac:dyDescent="0.25">
      <c r="A257">
        <v>256</v>
      </c>
      <c r="B257">
        <f t="shared" si="9"/>
        <v>143613314873546.5</v>
      </c>
      <c r="C257">
        <f t="shared" si="10"/>
        <v>157974646360901.16</v>
      </c>
    </row>
    <row r="258" spans="1:3" x14ac:dyDescent="0.25">
      <c r="A258">
        <v>257</v>
      </c>
      <c r="B258">
        <f t="shared" si="9"/>
        <v>157974646360901.16</v>
      </c>
      <c r="C258">
        <f t="shared" si="10"/>
        <v>173772110996991.28</v>
      </c>
    </row>
    <row r="259" spans="1:3" x14ac:dyDescent="0.25">
      <c r="A259">
        <v>258</v>
      </c>
      <c r="B259">
        <f t="shared" si="9"/>
        <v>173772110996991.28</v>
      </c>
      <c r="C259">
        <f t="shared" si="10"/>
        <v>191149322096690.44</v>
      </c>
    </row>
    <row r="260" spans="1:3" x14ac:dyDescent="0.25">
      <c r="A260">
        <v>259</v>
      </c>
      <c r="B260">
        <f t="shared" si="9"/>
        <v>191149322096690.44</v>
      </c>
      <c r="C260">
        <f t="shared" si="10"/>
        <v>210264254306359.5</v>
      </c>
    </row>
    <row r="261" spans="1:3" x14ac:dyDescent="0.25">
      <c r="A261">
        <v>260</v>
      </c>
      <c r="B261">
        <f t="shared" si="9"/>
        <v>210264254306359.5</v>
      </c>
      <c r="C261">
        <f t="shared" si="10"/>
        <v>231290679736995.47</v>
      </c>
    </row>
    <row r="262" spans="1:3" x14ac:dyDescent="0.25">
      <c r="A262">
        <v>261</v>
      </c>
      <c r="B262">
        <f t="shared" si="9"/>
        <v>231290679736995.47</v>
      </c>
      <c r="C262">
        <f t="shared" si="10"/>
        <v>254419747710695.03</v>
      </c>
    </row>
    <row r="263" spans="1:3" x14ac:dyDescent="0.25">
      <c r="A263">
        <v>262</v>
      </c>
      <c r="B263">
        <f t="shared" si="9"/>
        <v>254419747710695.03</v>
      </c>
      <c r="C263">
        <f t="shared" si="10"/>
        <v>279861722481764.56</v>
      </c>
    </row>
    <row r="264" spans="1:3" x14ac:dyDescent="0.25">
      <c r="A264">
        <v>263</v>
      </c>
      <c r="B264">
        <f t="shared" si="9"/>
        <v>279861722481764.56</v>
      </c>
      <c r="C264">
        <f t="shared" si="10"/>
        <v>307847894729941.06</v>
      </c>
    </row>
    <row r="265" spans="1:3" x14ac:dyDescent="0.25">
      <c r="A265">
        <v>264</v>
      </c>
      <c r="B265">
        <f t="shared" si="9"/>
        <v>307847894729941.06</v>
      </c>
      <c r="C265">
        <f t="shared" si="10"/>
        <v>338632684202935.19</v>
      </c>
    </row>
    <row r="266" spans="1:3" x14ac:dyDescent="0.25">
      <c r="A266">
        <v>265</v>
      </c>
      <c r="B266">
        <f t="shared" si="9"/>
        <v>338632684202935.19</v>
      </c>
      <c r="C266">
        <f t="shared" si="10"/>
        <v>372495952623228.75</v>
      </c>
    </row>
    <row r="267" spans="1:3" x14ac:dyDescent="0.25">
      <c r="A267">
        <v>266</v>
      </c>
      <c r="B267">
        <f t="shared" si="9"/>
        <v>372495952623228.75</v>
      </c>
      <c r="C267">
        <f t="shared" si="10"/>
        <v>409745547885551.69</v>
      </c>
    </row>
    <row r="268" spans="1:3" x14ac:dyDescent="0.25">
      <c r="A268">
        <v>267</v>
      </c>
      <c r="B268">
        <f t="shared" si="9"/>
        <v>409745547885551.69</v>
      </c>
      <c r="C268">
        <f t="shared" si="10"/>
        <v>450720102674106.88</v>
      </c>
    </row>
    <row r="269" spans="1:3" x14ac:dyDescent="0.25">
      <c r="A269">
        <v>268</v>
      </c>
      <c r="B269">
        <f t="shared" si="9"/>
        <v>450720102674106.88</v>
      </c>
      <c r="C269">
        <f t="shared" si="10"/>
        <v>495792112941517.63</v>
      </c>
    </row>
    <row r="270" spans="1:3" x14ac:dyDescent="0.25">
      <c r="A270">
        <v>269</v>
      </c>
      <c r="B270">
        <f t="shared" si="9"/>
        <v>495792112941517.63</v>
      </c>
      <c r="C270">
        <f t="shared" si="10"/>
        <v>545371324235669.44</v>
      </c>
    </row>
    <row r="271" spans="1:3" x14ac:dyDescent="0.25">
      <c r="A271">
        <v>270</v>
      </c>
      <c r="B271">
        <f t="shared" si="9"/>
        <v>545371324235669.44</v>
      </c>
      <c r="C271">
        <f t="shared" si="10"/>
        <v>599908456659236.38</v>
      </c>
    </row>
    <row r="272" spans="1:3" x14ac:dyDescent="0.25">
      <c r="A272">
        <v>271</v>
      </c>
      <c r="B272">
        <f t="shared" si="9"/>
        <v>599908456659236.38</v>
      </c>
      <c r="C272">
        <f t="shared" si="10"/>
        <v>659899302325160.13</v>
      </c>
    </row>
    <row r="273" spans="1:3" x14ac:dyDescent="0.25">
      <c r="A273">
        <v>272</v>
      </c>
      <c r="B273">
        <f t="shared" si="9"/>
        <v>659899302325160.13</v>
      </c>
      <c r="C273">
        <f t="shared" si="10"/>
        <v>725889232557676.25</v>
      </c>
    </row>
    <row r="274" spans="1:3" x14ac:dyDescent="0.25">
      <c r="A274">
        <v>273</v>
      </c>
      <c r="B274">
        <f t="shared" si="9"/>
        <v>725889232557676.25</v>
      </c>
      <c r="C274">
        <f t="shared" si="10"/>
        <v>798478155813444</v>
      </c>
    </row>
    <row r="275" spans="1:3" x14ac:dyDescent="0.25">
      <c r="A275">
        <v>274</v>
      </c>
      <c r="B275">
        <f t="shared" si="9"/>
        <v>798478155813444</v>
      </c>
      <c r="C275">
        <f t="shared" si="10"/>
        <v>878325971394788.5</v>
      </c>
    </row>
    <row r="276" spans="1:3" x14ac:dyDescent="0.25">
      <c r="A276">
        <v>275</v>
      </c>
      <c r="B276">
        <f t="shared" si="9"/>
        <v>878325971394788.5</v>
      </c>
      <c r="C276">
        <f t="shared" si="10"/>
        <v>966158568534267.38</v>
      </c>
    </row>
    <row r="277" spans="1:3" x14ac:dyDescent="0.25">
      <c r="A277">
        <v>276</v>
      </c>
      <c r="B277">
        <f t="shared" si="9"/>
        <v>966158568534267.38</v>
      </c>
      <c r="C277">
        <f t="shared" si="10"/>
        <v>1062774425387694.3</v>
      </c>
    </row>
    <row r="278" spans="1:3" x14ac:dyDescent="0.25">
      <c r="A278">
        <v>277</v>
      </c>
      <c r="B278">
        <f t="shared" si="9"/>
        <v>1062774425387694.3</v>
      </c>
      <c r="C278">
        <f t="shared" si="10"/>
        <v>1169051867926463.8</v>
      </c>
    </row>
    <row r="279" spans="1:3" x14ac:dyDescent="0.25">
      <c r="A279">
        <v>278</v>
      </c>
      <c r="B279">
        <f t="shared" si="9"/>
        <v>1169051867926463.8</v>
      </c>
      <c r="C279">
        <f t="shared" si="10"/>
        <v>1285957054719110.3</v>
      </c>
    </row>
    <row r="280" spans="1:3" x14ac:dyDescent="0.25">
      <c r="A280">
        <v>279</v>
      </c>
      <c r="B280">
        <f t="shared" si="9"/>
        <v>1285957054719110.3</v>
      </c>
      <c r="C280">
        <f t="shared" si="10"/>
        <v>1414552760191021.5</v>
      </c>
    </row>
    <row r="281" spans="1:3" x14ac:dyDescent="0.25">
      <c r="A281">
        <v>280</v>
      </c>
      <c r="B281">
        <f t="shared" si="9"/>
        <v>1414552760191021.5</v>
      </c>
      <c r="C281">
        <f t="shared" si="10"/>
        <v>1556008036210123.8</v>
      </c>
    </row>
    <row r="282" spans="1:3" x14ac:dyDescent="0.25">
      <c r="A282">
        <v>281</v>
      </c>
      <c r="B282">
        <f t="shared" si="9"/>
        <v>1556008036210123.8</v>
      </c>
      <c r="C282">
        <f t="shared" si="10"/>
        <v>1711608839831136.3</v>
      </c>
    </row>
    <row r="283" spans="1:3" x14ac:dyDescent="0.25">
      <c r="A283">
        <v>282</v>
      </c>
      <c r="B283">
        <f t="shared" si="9"/>
        <v>1711608839831136.3</v>
      </c>
      <c r="C283">
        <f t="shared" si="10"/>
        <v>1882769723814250</v>
      </c>
    </row>
    <row r="284" spans="1:3" x14ac:dyDescent="0.25">
      <c r="A284">
        <v>283</v>
      </c>
      <c r="B284">
        <f t="shared" si="9"/>
        <v>1882769723814250</v>
      </c>
      <c r="C284">
        <f t="shared" si="10"/>
        <v>2071046696195675.3</v>
      </c>
    </row>
    <row r="285" spans="1:3" x14ac:dyDescent="0.25">
      <c r="A285">
        <v>284</v>
      </c>
      <c r="B285">
        <f t="shared" si="9"/>
        <v>2071046696195675.3</v>
      </c>
      <c r="C285">
        <f t="shared" si="10"/>
        <v>2278151365815243</v>
      </c>
    </row>
    <row r="286" spans="1:3" x14ac:dyDescent="0.25">
      <c r="A286">
        <v>285</v>
      </c>
      <c r="B286">
        <f t="shared" si="9"/>
        <v>2278151365815243</v>
      </c>
      <c r="C286">
        <f t="shared" si="10"/>
        <v>2505966502396767.5</v>
      </c>
    </row>
    <row r="287" spans="1:3" x14ac:dyDescent="0.25">
      <c r="A287">
        <v>286</v>
      </c>
      <c r="B287">
        <f t="shared" si="9"/>
        <v>2505966502396767.5</v>
      </c>
      <c r="C287">
        <f t="shared" si="10"/>
        <v>2756563152636444.5</v>
      </c>
    </row>
    <row r="288" spans="1:3" x14ac:dyDescent="0.25">
      <c r="A288">
        <v>287</v>
      </c>
      <c r="B288">
        <f t="shared" si="9"/>
        <v>2756563152636444.5</v>
      </c>
      <c r="C288">
        <f t="shared" si="10"/>
        <v>3032219467900089</v>
      </c>
    </row>
    <row r="289" spans="1:3" x14ac:dyDescent="0.25">
      <c r="A289">
        <v>288</v>
      </c>
      <c r="B289">
        <f t="shared" si="9"/>
        <v>3032219467900089</v>
      </c>
      <c r="C289">
        <f t="shared" si="10"/>
        <v>3335441414690098</v>
      </c>
    </row>
    <row r="290" spans="1:3" x14ac:dyDescent="0.25">
      <c r="A290">
        <v>289</v>
      </c>
      <c r="B290">
        <f t="shared" si="9"/>
        <v>3335441414690098</v>
      </c>
      <c r="C290">
        <f t="shared" si="10"/>
        <v>3668985556159108</v>
      </c>
    </row>
    <row r="291" spans="1:3" x14ac:dyDescent="0.25">
      <c r="A291">
        <v>290</v>
      </c>
      <c r="B291">
        <f t="shared" si="9"/>
        <v>3668985556159108</v>
      </c>
      <c r="C291">
        <f t="shared" si="10"/>
        <v>4035884111775019</v>
      </c>
    </row>
    <row r="292" spans="1:3" x14ac:dyDescent="0.25">
      <c r="A292">
        <v>291</v>
      </c>
      <c r="B292">
        <f t="shared" si="9"/>
        <v>4035884111775019</v>
      </c>
      <c r="C292">
        <f t="shared" si="10"/>
        <v>4439472522952521.5</v>
      </c>
    </row>
    <row r="293" spans="1:3" x14ac:dyDescent="0.25">
      <c r="A293">
        <v>292</v>
      </c>
      <c r="B293">
        <f t="shared" si="9"/>
        <v>4439472522952521.5</v>
      </c>
      <c r="C293">
        <f t="shared" si="10"/>
        <v>4883419775247774</v>
      </c>
    </row>
    <row r="294" spans="1:3" x14ac:dyDescent="0.25">
      <c r="A294">
        <v>293</v>
      </c>
      <c r="B294">
        <f t="shared" si="9"/>
        <v>4883419775247774</v>
      </c>
      <c r="C294">
        <f t="shared" si="10"/>
        <v>5371761752772552</v>
      </c>
    </row>
    <row r="295" spans="1:3" x14ac:dyDescent="0.25">
      <c r="A295">
        <v>294</v>
      </c>
      <c r="B295">
        <f t="shared" si="9"/>
        <v>5371761752772552</v>
      </c>
      <c r="C295">
        <f t="shared" si="10"/>
        <v>5908937928049808</v>
      </c>
    </row>
    <row r="296" spans="1:3" x14ac:dyDescent="0.25">
      <c r="A296">
        <v>295</v>
      </c>
      <c r="B296">
        <f t="shared" si="9"/>
        <v>5908937928049808</v>
      </c>
      <c r="C296">
        <f t="shared" si="10"/>
        <v>6499831720854789</v>
      </c>
    </row>
    <row r="297" spans="1:3" x14ac:dyDescent="0.25">
      <c r="A297">
        <v>296</v>
      </c>
      <c r="B297">
        <f t="shared" ref="B297:B360" si="11">C296</f>
        <v>6499831720854789</v>
      </c>
      <c r="C297">
        <f t="shared" ref="C297:C360" si="12">B297*1.1</f>
        <v>7149814892940268</v>
      </c>
    </row>
    <row r="298" spans="1:3" x14ac:dyDescent="0.25">
      <c r="A298">
        <v>297</v>
      </c>
      <c r="B298">
        <f t="shared" si="11"/>
        <v>7149814892940268</v>
      </c>
      <c r="C298">
        <f t="shared" si="12"/>
        <v>7864796382234295</v>
      </c>
    </row>
    <row r="299" spans="1:3" x14ac:dyDescent="0.25">
      <c r="A299">
        <v>298</v>
      </c>
      <c r="B299">
        <f t="shared" si="11"/>
        <v>7864796382234295</v>
      </c>
      <c r="C299">
        <f t="shared" si="12"/>
        <v>8651276020457725</v>
      </c>
    </row>
    <row r="300" spans="1:3" x14ac:dyDescent="0.25">
      <c r="A300">
        <v>299</v>
      </c>
      <c r="B300">
        <f t="shared" si="11"/>
        <v>8651276020457725</v>
      </c>
      <c r="C300">
        <f t="shared" si="12"/>
        <v>9516403622503498</v>
      </c>
    </row>
    <row r="301" spans="1:3" x14ac:dyDescent="0.25">
      <c r="A301">
        <v>300</v>
      </c>
      <c r="B301">
        <f t="shared" si="11"/>
        <v>9516403622503498</v>
      </c>
      <c r="C301">
        <f t="shared" si="12"/>
        <v>1.0468043984753848E+16</v>
      </c>
    </row>
    <row r="302" spans="1:3" x14ac:dyDescent="0.25">
      <c r="A302">
        <v>301</v>
      </c>
      <c r="B302">
        <f t="shared" si="11"/>
        <v>1.0468043984753848E+16</v>
      </c>
      <c r="C302">
        <f t="shared" si="12"/>
        <v>1.1514848383229234E+16</v>
      </c>
    </row>
    <row r="303" spans="1:3" x14ac:dyDescent="0.25">
      <c r="A303">
        <v>302</v>
      </c>
      <c r="B303">
        <f t="shared" si="11"/>
        <v>1.1514848383229234E+16</v>
      </c>
      <c r="C303">
        <f t="shared" si="12"/>
        <v>1.2666333221552158E+16</v>
      </c>
    </row>
    <row r="304" spans="1:3" x14ac:dyDescent="0.25">
      <c r="A304">
        <v>303</v>
      </c>
      <c r="B304">
        <f t="shared" si="11"/>
        <v>1.2666333221552158E+16</v>
      </c>
      <c r="C304">
        <f t="shared" si="12"/>
        <v>1.3932966543707374E+16</v>
      </c>
    </row>
    <row r="305" spans="1:3" x14ac:dyDescent="0.25">
      <c r="A305">
        <v>304</v>
      </c>
      <c r="B305">
        <f t="shared" si="11"/>
        <v>1.3932966543707374E+16</v>
      </c>
      <c r="C305">
        <f t="shared" si="12"/>
        <v>1.5326263198078112E+16</v>
      </c>
    </row>
    <row r="306" spans="1:3" x14ac:dyDescent="0.25">
      <c r="A306">
        <v>305</v>
      </c>
      <c r="B306">
        <f t="shared" si="11"/>
        <v>1.5326263198078112E+16</v>
      </c>
      <c r="C306">
        <f t="shared" si="12"/>
        <v>1.6858889517885924E+16</v>
      </c>
    </row>
    <row r="307" spans="1:3" x14ac:dyDescent="0.25">
      <c r="A307">
        <v>306</v>
      </c>
      <c r="B307">
        <f t="shared" si="11"/>
        <v>1.6858889517885924E+16</v>
      </c>
      <c r="C307">
        <f t="shared" si="12"/>
        <v>1.8544778469674516E+16</v>
      </c>
    </row>
    <row r="308" spans="1:3" x14ac:dyDescent="0.25">
      <c r="A308">
        <v>307</v>
      </c>
      <c r="B308">
        <f t="shared" si="11"/>
        <v>1.8544778469674516E+16</v>
      </c>
      <c r="C308">
        <f t="shared" si="12"/>
        <v>2.0399256316641968E+16</v>
      </c>
    </row>
    <row r="309" spans="1:3" x14ac:dyDescent="0.25">
      <c r="A309">
        <v>308</v>
      </c>
      <c r="B309">
        <f t="shared" si="11"/>
        <v>2.0399256316641968E+16</v>
      </c>
      <c r="C309">
        <f t="shared" si="12"/>
        <v>2.2439181948306168E+16</v>
      </c>
    </row>
    <row r="310" spans="1:3" x14ac:dyDescent="0.25">
      <c r="A310">
        <v>309</v>
      </c>
      <c r="B310">
        <f t="shared" si="11"/>
        <v>2.2439181948306168E+16</v>
      </c>
      <c r="C310">
        <f t="shared" si="12"/>
        <v>2.4683100143136788E+16</v>
      </c>
    </row>
    <row r="311" spans="1:3" x14ac:dyDescent="0.25">
      <c r="A311">
        <v>310</v>
      </c>
      <c r="B311">
        <f t="shared" si="11"/>
        <v>2.4683100143136788E+16</v>
      </c>
      <c r="C311">
        <f t="shared" si="12"/>
        <v>2.7151410157450468E+16</v>
      </c>
    </row>
    <row r="312" spans="1:3" x14ac:dyDescent="0.25">
      <c r="A312">
        <v>311</v>
      </c>
      <c r="B312">
        <f t="shared" si="11"/>
        <v>2.7151410157450468E+16</v>
      </c>
      <c r="C312">
        <f t="shared" si="12"/>
        <v>2.9866551173195516E+16</v>
      </c>
    </row>
    <row r="313" spans="1:3" x14ac:dyDescent="0.25">
      <c r="A313">
        <v>312</v>
      </c>
      <c r="B313">
        <f t="shared" si="11"/>
        <v>2.9866551173195516E+16</v>
      </c>
      <c r="C313">
        <f t="shared" si="12"/>
        <v>3.2853206290515072E+16</v>
      </c>
    </row>
    <row r="314" spans="1:3" x14ac:dyDescent="0.25">
      <c r="A314">
        <v>313</v>
      </c>
      <c r="B314">
        <f t="shared" si="11"/>
        <v>3.2853206290515072E+16</v>
      </c>
      <c r="C314">
        <f t="shared" si="12"/>
        <v>3.6138526919566584E+16</v>
      </c>
    </row>
    <row r="315" spans="1:3" x14ac:dyDescent="0.25">
      <c r="A315">
        <v>314</v>
      </c>
      <c r="B315">
        <f t="shared" si="11"/>
        <v>3.6138526919566584E+16</v>
      </c>
      <c r="C315">
        <f t="shared" si="12"/>
        <v>3.9752379611523248E+16</v>
      </c>
    </row>
    <row r="316" spans="1:3" x14ac:dyDescent="0.25">
      <c r="A316">
        <v>315</v>
      </c>
      <c r="B316">
        <f t="shared" si="11"/>
        <v>3.9752379611523248E+16</v>
      </c>
      <c r="C316">
        <f t="shared" si="12"/>
        <v>4.3727617572675576E+16</v>
      </c>
    </row>
    <row r="317" spans="1:3" x14ac:dyDescent="0.25">
      <c r="A317">
        <v>316</v>
      </c>
      <c r="B317">
        <f t="shared" si="11"/>
        <v>4.3727617572675576E+16</v>
      </c>
      <c r="C317">
        <f t="shared" si="12"/>
        <v>4.8100379329943136E+16</v>
      </c>
    </row>
    <row r="318" spans="1:3" x14ac:dyDescent="0.25">
      <c r="A318">
        <v>317</v>
      </c>
      <c r="B318">
        <f t="shared" si="11"/>
        <v>4.8100379329943136E+16</v>
      </c>
      <c r="C318">
        <f t="shared" si="12"/>
        <v>5.2910417262937456E+16</v>
      </c>
    </row>
    <row r="319" spans="1:3" x14ac:dyDescent="0.25">
      <c r="A319">
        <v>318</v>
      </c>
      <c r="B319">
        <f t="shared" si="11"/>
        <v>5.2910417262937456E+16</v>
      </c>
      <c r="C319">
        <f t="shared" si="12"/>
        <v>5.8201458989231208E+16</v>
      </c>
    </row>
    <row r="320" spans="1:3" x14ac:dyDescent="0.25">
      <c r="A320">
        <v>319</v>
      </c>
      <c r="B320">
        <f t="shared" si="11"/>
        <v>5.8201458989231208E+16</v>
      </c>
      <c r="C320">
        <f t="shared" si="12"/>
        <v>6.4021604888154336E+16</v>
      </c>
    </row>
    <row r="321" spans="1:3" x14ac:dyDescent="0.25">
      <c r="A321">
        <v>320</v>
      </c>
      <c r="B321">
        <f t="shared" si="11"/>
        <v>6.4021604888154336E+16</v>
      </c>
      <c r="C321">
        <f t="shared" si="12"/>
        <v>7.0423765376969776E+16</v>
      </c>
    </row>
    <row r="322" spans="1:3" x14ac:dyDescent="0.25">
      <c r="A322">
        <v>321</v>
      </c>
      <c r="B322">
        <f t="shared" si="11"/>
        <v>7.0423765376969776E+16</v>
      </c>
      <c r="C322">
        <f t="shared" si="12"/>
        <v>7.7466141914666752E+16</v>
      </c>
    </row>
    <row r="323" spans="1:3" x14ac:dyDescent="0.25">
      <c r="A323">
        <v>322</v>
      </c>
      <c r="B323">
        <f t="shared" si="11"/>
        <v>7.7466141914666752E+16</v>
      </c>
      <c r="C323">
        <f t="shared" si="12"/>
        <v>8.521275610613344E+16</v>
      </c>
    </row>
    <row r="324" spans="1:3" x14ac:dyDescent="0.25">
      <c r="A324">
        <v>323</v>
      </c>
      <c r="B324">
        <f t="shared" si="11"/>
        <v>8.521275610613344E+16</v>
      </c>
      <c r="C324">
        <f t="shared" si="12"/>
        <v>9.3734031716746784E+16</v>
      </c>
    </row>
    <row r="325" spans="1:3" x14ac:dyDescent="0.25">
      <c r="A325">
        <v>324</v>
      </c>
      <c r="B325">
        <f t="shared" si="11"/>
        <v>9.3734031716746784E+16</v>
      </c>
      <c r="C325">
        <f t="shared" si="12"/>
        <v>1.0310743488842147E+17</v>
      </c>
    </row>
    <row r="326" spans="1:3" x14ac:dyDescent="0.25">
      <c r="A326">
        <v>325</v>
      </c>
      <c r="B326">
        <f t="shared" si="11"/>
        <v>1.0310743488842147E+17</v>
      </c>
      <c r="C326">
        <f t="shared" si="12"/>
        <v>1.1341817837726363E+17</v>
      </c>
    </row>
    <row r="327" spans="1:3" x14ac:dyDescent="0.25">
      <c r="A327">
        <v>326</v>
      </c>
      <c r="B327">
        <f t="shared" si="11"/>
        <v>1.1341817837726363E+17</v>
      </c>
      <c r="C327">
        <f t="shared" si="12"/>
        <v>1.2475999621499E+17</v>
      </c>
    </row>
    <row r="328" spans="1:3" x14ac:dyDescent="0.25">
      <c r="A328">
        <v>327</v>
      </c>
      <c r="B328">
        <f t="shared" si="11"/>
        <v>1.2475999621499E+17</v>
      </c>
      <c r="C328">
        <f t="shared" si="12"/>
        <v>1.3723599583648901E+17</v>
      </c>
    </row>
    <row r="329" spans="1:3" x14ac:dyDescent="0.25">
      <c r="A329">
        <v>328</v>
      </c>
      <c r="B329">
        <f t="shared" si="11"/>
        <v>1.3723599583648901E+17</v>
      </c>
      <c r="C329">
        <f t="shared" si="12"/>
        <v>1.5095959542013792E+17</v>
      </c>
    </row>
    <row r="330" spans="1:3" x14ac:dyDescent="0.25">
      <c r="A330">
        <v>329</v>
      </c>
      <c r="B330">
        <f t="shared" si="11"/>
        <v>1.5095959542013792E+17</v>
      </c>
      <c r="C330">
        <f t="shared" si="12"/>
        <v>1.6605555496215171E+17</v>
      </c>
    </row>
    <row r="331" spans="1:3" x14ac:dyDescent="0.25">
      <c r="A331">
        <v>330</v>
      </c>
      <c r="B331">
        <f t="shared" si="11"/>
        <v>1.6605555496215171E+17</v>
      </c>
      <c r="C331">
        <f t="shared" si="12"/>
        <v>1.8266111045836691E+17</v>
      </c>
    </row>
    <row r="332" spans="1:3" x14ac:dyDescent="0.25">
      <c r="A332">
        <v>331</v>
      </c>
      <c r="B332">
        <f t="shared" si="11"/>
        <v>1.8266111045836691E+17</v>
      </c>
      <c r="C332">
        <f t="shared" si="12"/>
        <v>2.0092722150420362E+17</v>
      </c>
    </row>
    <row r="333" spans="1:3" x14ac:dyDescent="0.25">
      <c r="A333">
        <v>332</v>
      </c>
      <c r="B333">
        <f t="shared" si="11"/>
        <v>2.0092722150420362E+17</v>
      </c>
      <c r="C333">
        <f t="shared" si="12"/>
        <v>2.21019943654624E+17</v>
      </c>
    </row>
    <row r="334" spans="1:3" x14ac:dyDescent="0.25">
      <c r="A334">
        <v>333</v>
      </c>
      <c r="B334">
        <f t="shared" si="11"/>
        <v>2.21019943654624E+17</v>
      </c>
      <c r="C334">
        <f t="shared" si="12"/>
        <v>2.4312193802008643E+17</v>
      </c>
    </row>
    <row r="335" spans="1:3" x14ac:dyDescent="0.25">
      <c r="A335">
        <v>334</v>
      </c>
      <c r="B335">
        <f t="shared" si="11"/>
        <v>2.4312193802008643E+17</v>
      </c>
      <c r="C335">
        <f t="shared" si="12"/>
        <v>2.674341318220951E+17</v>
      </c>
    </row>
    <row r="336" spans="1:3" x14ac:dyDescent="0.25">
      <c r="A336">
        <v>335</v>
      </c>
      <c r="B336">
        <f t="shared" si="11"/>
        <v>2.674341318220951E+17</v>
      </c>
      <c r="C336">
        <f t="shared" si="12"/>
        <v>2.9417754500430464E+17</v>
      </c>
    </row>
    <row r="337" spans="1:3" x14ac:dyDescent="0.25">
      <c r="A337">
        <v>336</v>
      </c>
      <c r="B337">
        <f t="shared" si="11"/>
        <v>2.9417754500430464E+17</v>
      </c>
      <c r="C337">
        <f t="shared" si="12"/>
        <v>3.235952995047351E+17</v>
      </c>
    </row>
    <row r="338" spans="1:3" x14ac:dyDescent="0.25">
      <c r="A338">
        <v>337</v>
      </c>
      <c r="B338">
        <f t="shared" si="11"/>
        <v>3.235952995047351E+17</v>
      </c>
      <c r="C338">
        <f t="shared" si="12"/>
        <v>3.5595482945520864E+17</v>
      </c>
    </row>
    <row r="339" spans="1:3" x14ac:dyDescent="0.25">
      <c r="A339">
        <v>338</v>
      </c>
      <c r="B339">
        <f t="shared" si="11"/>
        <v>3.5595482945520864E+17</v>
      </c>
      <c r="C339">
        <f t="shared" si="12"/>
        <v>3.9155031240072954E+17</v>
      </c>
    </row>
    <row r="340" spans="1:3" x14ac:dyDescent="0.25">
      <c r="A340">
        <v>339</v>
      </c>
      <c r="B340">
        <f t="shared" si="11"/>
        <v>3.9155031240072954E+17</v>
      </c>
      <c r="C340">
        <f t="shared" si="12"/>
        <v>4.307053436408025E+17</v>
      </c>
    </row>
    <row r="341" spans="1:3" x14ac:dyDescent="0.25">
      <c r="A341">
        <v>340</v>
      </c>
      <c r="B341">
        <f t="shared" si="11"/>
        <v>4.307053436408025E+17</v>
      </c>
      <c r="C341">
        <f t="shared" si="12"/>
        <v>4.7377587800488275E+17</v>
      </c>
    </row>
    <row r="342" spans="1:3" x14ac:dyDescent="0.25">
      <c r="A342">
        <v>341</v>
      </c>
      <c r="B342">
        <f t="shared" si="11"/>
        <v>4.7377587800488275E+17</v>
      </c>
      <c r="C342">
        <f t="shared" si="12"/>
        <v>5.2115346580537107E+17</v>
      </c>
    </row>
    <row r="343" spans="1:3" x14ac:dyDescent="0.25">
      <c r="A343">
        <v>342</v>
      </c>
      <c r="B343">
        <f t="shared" si="11"/>
        <v>5.2115346580537107E+17</v>
      </c>
      <c r="C343">
        <f t="shared" si="12"/>
        <v>5.7326881238590822E+17</v>
      </c>
    </row>
    <row r="344" spans="1:3" x14ac:dyDescent="0.25">
      <c r="A344">
        <v>343</v>
      </c>
      <c r="B344">
        <f t="shared" si="11"/>
        <v>5.7326881238590822E+17</v>
      </c>
      <c r="C344">
        <f t="shared" si="12"/>
        <v>6.3059569362449907E+17</v>
      </c>
    </row>
    <row r="345" spans="1:3" x14ac:dyDescent="0.25">
      <c r="A345">
        <v>344</v>
      </c>
      <c r="B345">
        <f t="shared" si="11"/>
        <v>6.3059569362449907E+17</v>
      </c>
      <c r="C345">
        <f t="shared" si="12"/>
        <v>6.9365526298694899E+17</v>
      </c>
    </row>
    <row r="346" spans="1:3" x14ac:dyDescent="0.25">
      <c r="A346">
        <v>345</v>
      </c>
      <c r="B346">
        <f t="shared" si="11"/>
        <v>6.9365526298694899E+17</v>
      </c>
      <c r="C346">
        <f t="shared" si="12"/>
        <v>7.630207892856439E+17</v>
      </c>
    </row>
    <row r="347" spans="1:3" x14ac:dyDescent="0.25">
      <c r="A347">
        <v>346</v>
      </c>
      <c r="B347">
        <f t="shared" si="11"/>
        <v>7.630207892856439E+17</v>
      </c>
      <c r="C347">
        <f t="shared" si="12"/>
        <v>8.3932286821420838E+17</v>
      </c>
    </row>
    <row r="348" spans="1:3" x14ac:dyDescent="0.25">
      <c r="A348">
        <v>347</v>
      </c>
      <c r="B348">
        <f t="shared" si="11"/>
        <v>8.3932286821420838E+17</v>
      </c>
      <c r="C348">
        <f t="shared" si="12"/>
        <v>9.2325515503562931E+17</v>
      </c>
    </row>
    <row r="349" spans="1:3" x14ac:dyDescent="0.25">
      <c r="A349">
        <v>348</v>
      </c>
      <c r="B349">
        <f t="shared" si="11"/>
        <v>9.2325515503562931E+17</v>
      </c>
      <c r="C349">
        <f t="shared" si="12"/>
        <v>1.0155806705391923E+18</v>
      </c>
    </row>
    <row r="350" spans="1:3" x14ac:dyDescent="0.25">
      <c r="A350">
        <v>349</v>
      </c>
      <c r="B350">
        <f t="shared" si="11"/>
        <v>1.0155806705391923E+18</v>
      </c>
      <c r="C350">
        <f t="shared" si="12"/>
        <v>1.1171387375931117E+18</v>
      </c>
    </row>
    <row r="351" spans="1:3" x14ac:dyDescent="0.25">
      <c r="A351">
        <v>350</v>
      </c>
      <c r="B351">
        <f t="shared" si="11"/>
        <v>1.1171387375931117E+18</v>
      </c>
      <c r="C351">
        <f t="shared" si="12"/>
        <v>1.2288526113524229E+18</v>
      </c>
    </row>
    <row r="352" spans="1:3" x14ac:dyDescent="0.25">
      <c r="A352">
        <v>351</v>
      </c>
      <c r="B352">
        <f t="shared" si="11"/>
        <v>1.2288526113524229E+18</v>
      </c>
      <c r="C352">
        <f t="shared" si="12"/>
        <v>1.3517378724876654E+18</v>
      </c>
    </row>
    <row r="353" spans="1:3" x14ac:dyDescent="0.25">
      <c r="A353">
        <v>352</v>
      </c>
      <c r="B353">
        <f t="shared" si="11"/>
        <v>1.3517378724876654E+18</v>
      </c>
      <c r="C353">
        <f t="shared" si="12"/>
        <v>1.4869116597364321E+18</v>
      </c>
    </row>
    <row r="354" spans="1:3" x14ac:dyDescent="0.25">
      <c r="A354">
        <v>353</v>
      </c>
      <c r="B354">
        <f t="shared" si="11"/>
        <v>1.4869116597364321E+18</v>
      </c>
      <c r="C354">
        <f t="shared" si="12"/>
        <v>1.6356028257100754E+18</v>
      </c>
    </row>
    <row r="355" spans="1:3" x14ac:dyDescent="0.25">
      <c r="A355">
        <v>354</v>
      </c>
      <c r="B355">
        <f t="shared" si="11"/>
        <v>1.6356028257100754E+18</v>
      </c>
      <c r="C355">
        <f t="shared" si="12"/>
        <v>1.7991631082810831E+18</v>
      </c>
    </row>
    <row r="356" spans="1:3" x14ac:dyDescent="0.25">
      <c r="A356">
        <v>355</v>
      </c>
      <c r="B356">
        <f t="shared" si="11"/>
        <v>1.7991631082810831E+18</v>
      </c>
      <c r="C356">
        <f t="shared" si="12"/>
        <v>1.9790794191091917E+18</v>
      </c>
    </row>
    <row r="357" spans="1:3" x14ac:dyDescent="0.25">
      <c r="A357">
        <v>356</v>
      </c>
      <c r="B357">
        <f t="shared" si="11"/>
        <v>1.9790794191091917E+18</v>
      </c>
      <c r="C357">
        <f t="shared" si="12"/>
        <v>2.1769873610201111E+18</v>
      </c>
    </row>
    <row r="358" spans="1:3" x14ac:dyDescent="0.25">
      <c r="A358">
        <v>357</v>
      </c>
      <c r="B358">
        <f t="shared" si="11"/>
        <v>2.1769873610201111E+18</v>
      </c>
      <c r="C358">
        <f t="shared" si="12"/>
        <v>2.3946860971221222E+18</v>
      </c>
    </row>
    <row r="359" spans="1:3" x14ac:dyDescent="0.25">
      <c r="A359">
        <v>358</v>
      </c>
      <c r="B359">
        <f t="shared" si="11"/>
        <v>2.3946860971221222E+18</v>
      </c>
      <c r="C359">
        <f t="shared" si="12"/>
        <v>2.6341547068343347E+18</v>
      </c>
    </row>
    <row r="360" spans="1:3" x14ac:dyDescent="0.25">
      <c r="A360">
        <v>359</v>
      </c>
      <c r="B360">
        <f t="shared" si="11"/>
        <v>2.6341547068343347E+18</v>
      </c>
      <c r="C360">
        <f t="shared" si="12"/>
        <v>2.8975701775177682E+18</v>
      </c>
    </row>
    <row r="361" spans="1:3" x14ac:dyDescent="0.25">
      <c r="A361">
        <v>360</v>
      </c>
      <c r="B361">
        <f t="shared" ref="B361:B424" si="13">C360</f>
        <v>2.8975701775177682E+18</v>
      </c>
      <c r="C361">
        <f t="shared" ref="C361:C424" si="14">B361*1.1</f>
        <v>3.1873271952695455E+18</v>
      </c>
    </row>
    <row r="362" spans="1:3" x14ac:dyDescent="0.25">
      <c r="A362">
        <v>361</v>
      </c>
      <c r="B362">
        <f t="shared" si="13"/>
        <v>3.1873271952695455E+18</v>
      </c>
      <c r="C362">
        <f t="shared" si="14"/>
        <v>3.5060599147965005E+18</v>
      </c>
    </row>
    <row r="363" spans="1:3" x14ac:dyDescent="0.25">
      <c r="A363">
        <v>362</v>
      </c>
      <c r="B363">
        <f t="shared" si="13"/>
        <v>3.5060599147965005E+18</v>
      </c>
      <c r="C363">
        <f t="shared" si="14"/>
        <v>3.8566659062761508E+18</v>
      </c>
    </row>
    <row r="364" spans="1:3" x14ac:dyDescent="0.25">
      <c r="A364">
        <v>363</v>
      </c>
      <c r="B364">
        <f t="shared" si="13"/>
        <v>3.8566659062761508E+18</v>
      </c>
      <c r="C364">
        <f t="shared" si="14"/>
        <v>4.242332496903766E+18</v>
      </c>
    </row>
    <row r="365" spans="1:3" x14ac:dyDescent="0.25">
      <c r="A365">
        <v>364</v>
      </c>
      <c r="B365">
        <f t="shared" si="13"/>
        <v>4.242332496903766E+18</v>
      </c>
      <c r="C365">
        <f t="shared" si="14"/>
        <v>4.6665657465941432E+18</v>
      </c>
    </row>
    <row r="366" spans="1:3" x14ac:dyDescent="0.25">
      <c r="A366">
        <v>365</v>
      </c>
      <c r="B366">
        <f t="shared" si="13"/>
        <v>4.6665657465941432E+18</v>
      </c>
      <c r="C366">
        <f t="shared" si="14"/>
        <v>5.1332223212535583E+18</v>
      </c>
    </row>
    <row r="367" spans="1:3" x14ac:dyDescent="0.25">
      <c r="A367">
        <v>366</v>
      </c>
      <c r="B367">
        <f t="shared" si="13"/>
        <v>5.1332223212535583E+18</v>
      </c>
      <c r="C367">
        <f t="shared" si="14"/>
        <v>5.6465445533789143E+18</v>
      </c>
    </row>
    <row r="368" spans="1:3" x14ac:dyDescent="0.25">
      <c r="A368">
        <v>367</v>
      </c>
      <c r="B368">
        <f t="shared" si="13"/>
        <v>5.6465445533789143E+18</v>
      </c>
      <c r="C368">
        <f t="shared" si="14"/>
        <v>6.2111990087168061E+18</v>
      </c>
    </row>
    <row r="369" spans="1:3" x14ac:dyDescent="0.25">
      <c r="A369">
        <v>368</v>
      </c>
      <c r="B369">
        <f t="shared" si="13"/>
        <v>6.2111990087168061E+18</v>
      </c>
      <c r="C369">
        <f t="shared" si="14"/>
        <v>6.8323189095884872E+18</v>
      </c>
    </row>
    <row r="370" spans="1:3" x14ac:dyDescent="0.25">
      <c r="A370">
        <v>369</v>
      </c>
      <c r="B370">
        <f t="shared" si="13"/>
        <v>6.8323189095884872E+18</v>
      </c>
      <c r="C370">
        <f t="shared" si="14"/>
        <v>7.5155508005473362E+18</v>
      </c>
    </row>
    <row r="371" spans="1:3" x14ac:dyDescent="0.25">
      <c r="A371">
        <v>370</v>
      </c>
      <c r="B371">
        <f t="shared" si="13"/>
        <v>7.5155508005473362E+18</v>
      </c>
      <c r="C371">
        <f t="shared" si="14"/>
        <v>8.26710588060207E+18</v>
      </c>
    </row>
    <row r="372" spans="1:3" x14ac:dyDescent="0.25">
      <c r="A372">
        <v>371</v>
      </c>
      <c r="B372">
        <f t="shared" si="13"/>
        <v>8.26710588060207E+18</v>
      </c>
      <c r="C372">
        <f t="shared" si="14"/>
        <v>9.0938164686622781E+18</v>
      </c>
    </row>
    <row r="373" spans="1:3" x14ac:dyDescent="0.25">
      <c r="A373">
        <v>372</v>
      </c>
      <c r="B373">
        <f t="shared" si="13"/>
        <v>9.0938164686622781E+18</v>
      </c>
      <c r="C373">
        <f t="shared" si="14"/>
        <v>1.0003198115528507E+19</v>
      </c>
    </row>
    <row r="374" spans="1:3" x14ac:dyDescent="0.25">
      <c r="A374">
        <v>373</v>
      </c>
      <c r="B374">
        <f t="shared" si="13"/>
        <v>1.0003198115528507E+19</v>
      </c>
      <c r="C374">
        <f t="shared" si="14"/>
        <v>1.1003517927081359E+19</v>
      </c>
    </row>
    <row r="375" spans="1:3" x14ac:dyDescent="0.25">
      <c r="A375">
        <v>374</v>
      </c>
      <c r="B375">
        <f t="shared" si="13"/>
        <v>1.1003517927081359E+19</v>
      </c>
      <c r="C375">
        <f t="shared" si="14"/>
        <v>1.2103869719789496E+19</v>
      </c>
    </row>
    <row r="376" spans="1:3" x14ac:dyDescent="0.25">
      <c r="A376">
        <v>375</v>
      </c>
      <c r="B376">
        <f t="shared" si="13"/>
        <v>1.2103869719789496E+19</v>
      </c>
      <c r="C376">
        <f t="shared" si="14"/>
        <v>1.3314256691768447E+19</v>
      </c>
    </row>
    <row r="377" spans="1:3" x14ac:dyDescent="0.25">
      <c r="A377">
        <v>376</v>
      </c>
      <c r="B377">
        <f t="shared" si="13"/>
        <v>1.3314256691768447E+19</v>
      </c>
      <c r="C377">
        <f t="shared" si="14"/>
        <v>1.4645682360945293E+19</v>
      </c>
    </row>
    <row r="378" spans="1:3" x14ac:dyDescent="0.25">
      <c r="A378">
        <v>377</v>
      </c>
      <c r="B378">
        <f t="shared" si="13"/>
        <v>1.4645682360945293E+19</v>
      </c>
      <c r="C378">
        <f t="shared" si="14"/>
        <v>1.6110250597039825E+19</v>
      </c>
    </row>
    <row r="379" spans="1:3" x14ac:dyDescent="0.25">
      <c r="A379">
        <v>378</v>
      </c>
      <c r="B379">
        <f t="shared" si="13"/>
        <v>1.6110250597039825E+19</v>
      </c>
      <c r="C379">
        <f t="shared" si="14"/>
        <v>1.7721275656743809E+19</v>
      </c>
    </row>
    <row r="380" spans="1:3" x14ac:dyDescent="0.25">
      <c r="A380">
        <v>379</v>
      </c>
      <c r="B380">
        <f t="shared" si="13"/>
        <v>1.7721275656743809E+19</v>
      </c>
      <c r="C380">
        <f t="shared" si="14"/>
        <v>1.949340322241819E+19</v>
      </c>
    </row>
    <row r="381" spans="1:3" x14ac:dyDescent="0.25">
      <c r="A381">
        <v>380</v>
      </c>
      <c r="B381">
        <f t="shared" si="13"/>
        <v>1.949340322241819E+19</v>
      </c>
      <c r="C381">
        <f t="shared" si="14"/>
        <v>2.1442743544660013E+19</v>
      </c>
    </row>
    <row r="382" spans="1:3" x14ac:dyDescent="0.25">
      <c r="A382">
        <v>381</v>
      </c>
      <c r="B382">
        <f t="shared" si="13"/>
        <v>2.1442743544660013E+19</v>
      </c>
      <c r="C382">
        <f t="shared" si="14"/>
        <v>2.3587017899126018E+19</v>
      </c>
    </row>
    <row r="383" spans="1:3" x14ac:dyDescent="0.25">
      <c r="A383">
        <v>382</v>
      </c>
      <c r="B383">
        <f t="shared" si="13"/>
        <v>2.3587017899126018E+19</v>
      </c>
      <c r="C383">
        <f t="shared" si="14"/>
        <v>2.5945719689038623E+19</v>
      </c>
    </row>
    <row r="384" spans="1:3" x14ac:dyDescent="0.25">
      <c r="A384">
        <v>383</v>
      </c>
      <c r="B384">
        <f t="shared" si="13"/>
        <v>2.5945719689038623E+19</v>
      </c>
      <c r="C384">
        <f t="shared" si="14"/>
        <v>2.8540291657942487E+19</v>
      </c>
    </row>
    <row r="385" spans="1:3" x14ac:dyDescent="0.25">
      <c r="A385">
        <v>384</v>
      </c>
      <c r="B385">
        <f t="shared" si="13"/>
        <v>2.8540291657942487E+19</v>
      </c>
      <c r="C385">
        <f t="shared" si="14"/>
        <v>3.1394320823736738E+19</v>
      </c>
    </row>
    <row r="386" spans="1:3" x14ac:dyDescent="0.25">
      <c r="A386">
        <v>385</v>
      </c>
      <c r="B386">
        <f t="shared" si="13"/>
        <v>3.1394320823736738E+19</v>
      </c>
      <c r="C386">
        <f t="shared" si="14"/>
        <v>3.4533752906110415E+19</v>
      </c>
    </row>
    <row r="387" spans="1:3" x14ac:dyDescent="0.25">
      <c r="A387">
        <v>386</v>
      </c>
      <c r="B387">
        <f t="shared" si="13"/>
        <v>3.4533752906110415E+19</v>
      </c>
      <c r="C387">
        <f t="shared" si="14"/>
        <v>3.7987128196721459E+19</v>
      </c>
    </row>
    <row r="388" spans="1:3" x14ac:dyDescent="0.25">
      <c r="A388">
        <v>387</v>
      </c>
      <c r="B388">
        <f t="shared" si="13"/>
        <v>3.7987128196721459E+19</v>
      </c>
      <c r="C388">
        <f t="shared" si="14"/>
        <v>4.1785841016393605E+19</v>
      </c>
    </row>
    <row r="389" spans="1:3" x14ac:dyDescent="0.25">
      <c r="A389">
        <v>388</v>
      </c>
      <c r="B389">
        <f t="shared" si="13"/>
        <v>4.1785841016393605E+19</v>
      </c>
      <c r="C389">
        <f t="shared" si="14"/>
        <v>4.596442511803297E+19</v>
      </c>
    </row>
    <row r="390" spans="1:3" x14ac:dyDescent="0.25">
      <c r="A390">
        <v>389</v>
      </c>
      <c r="B390">
        <f t="shared" si="13"/>
        <v>4.596442511803297E+19</v>
      </c>
      <c r="C390">
        <f t="shared" si="14"/>
        <v>5.0560867629836272E+19</v>
      </c>
    </row>
    <row r="391" spans="1:3" x14ac:dyDescent="0.25">
      <c r="A391">
        <v>390</v>
      </c>
      <c r="B391">
        <f t="shared" si="13"/>
        <v>5.0560867629836272E+19</v>
      </c>
      <c r="C391">
        <f t="shared" si="14"/>
        <v>5.56169543928199E+19</v>
      </c>
    </row>
    <row r="392" spans="1:3" x14ac:dyDescent="0.25">
      <c r="A392">
        <v>391</v>
      </c>
      <c r="B392">
        <f t="shared" si="13"/>
        <v>5.56169543928199E+19</v>
      </c>
      <c r="C392">
        <f t="shared" si="14"/>
        <v>6.1178649832101896E+19</v>
      </c>
    </row>
    <row r="393" spans="1:3" x14ac:dyDescent="0.25">
      <c r="A393">
        <v>392</v>
      </c>
      <c r="B393">
        <f t="shared" si="13"/>
        <v>6.1178649832101896E+19</v>
      </c>
      <c r="C393">
        <f t="shared" si="14"/>
        <v>6.7296514815312093E+19</v>
      </c>
    </row>
    <row r="394" spans="1:3" x14ac:dyDescent="0.25">
      <c r="A394">
        <v>393</v>
      </c>
      <c r="B394">
        <f t="shared" si="13"/>
        <v>6.7296514815312093E+19</v>
      </c>
      <c r="C394">
        <f t="shared" si="14"/>
        <v>7.4026166296843305E+19</v>
      </c>
    </row>
    <row r="395" spans="1:3" x14ac:dyDescent="0.25">
      <c r="A395">
        <v>394</v>
      </c>
      <c r="B395">
        <f t="shared" si="13"/>
        <v>7.4026166296843305E+19</v>
      </c>
      <c r="C395">
        <f t="shared" si="14"/>
        <v>8.1428782926527644E+19</v>
      </c>
    </row>
    <row r="396" spans="1:3" x14ac:dyDescent="0.25">
      <c r="A396">
        <v>395</v>
      </c>
      <c r="B396">
        <f t="shared" si="13"/>
        <v>8.1428782926527644E+19</v>
      </c>
      <c r="C396">
        <f t="shared" si="14"/>
        <v>8.9571661219180413E+19</v>
      </c>
    </row>
    <row r="397" spans="1:3" x14ac:dyDescent="0.25">
      <c r="A397">
        <v>396</v>
      </c>
      <c r="B397">
        <f t="shared" si="13"/>
        <v>8.9571661219180413E+19</v>
      </c>
      <c r="C397">
        <f t="shared" si="14"/>
        <v>9.8528827341098467E+19</v>
      </c>
    </row>
    <row r="398" spans="1:3" x14ac:dyDescent="0.25">
      <c r="A398">
        <v>397</v>
      </c>
      <c r="B398">
        <f t="shared" si="13"/>
        <v>9.8528827341098467E+19</v>
      </c>
      <c r="C398">
        <f t="shared" si="14"/>
        <v>1.0838171007520832E+20</v>
      </c>
    </row>
    <row r="399" spans="1:3" x14ac:dyDescent="0.25">
      <c r="A399">
        <v>398</v>
      </c>
      <c r="B399">
        <f t="shared" si="13"/>
        <v>1.0838171007520832E+20</v>
      </c>
      <c r="C399">
        <f t="shared" si="14"/>
        <v>1.1921988108272915E+20</v>
      </c>
    </row>
    <row r="400" spans="1:3" x14ac:dyDescent="0.25">
      <c r="A400">
        <v>399</v>
      </c>
      <c r="B400">
        <f t="shared" si="13"/>
        <v>1.1921988108272915E+20</v>
      </c>
      <c r="C400">
        <f t="shared" si="14"/>
        <v>1.3114186919100208E+20</v>
      </c>
    </row>
    <row r="401" spans="1:3" x14ac:dyDescent="0.25">
      <c r="A401">
        <v>400</v>
      </c>
      <c r="B401">
        <f t="shared" si="13"/>
        <v>1.3114186919100208E+20</v>
      </c>
      <c r="C401">
        <f t="shared" si="14"/>
        <v>1.442560561101023E+20</v>
      </c>
    </row>
    <row r="402" spans="1:3" x14ac:dyDescent="0.25">
      <c r="A402">
        <v>401</v>
      </c>
      <c r="B402">
        <f t="shared" si="13"/>
        <v>1.442560561101023E+20</v>
      </c>
      <c r="C402">
        <f t="shared" si="14"/>
        <v>1.5868166172111254E+20</v>
      </c>
    </row>
    <row r="403" spans="1:3" x14ac:dyDescent="0.25">
      <c r="A403">
        <v>402</v>
      </c>
      <c r="B403">
        <f t="shared" si="13"/>
        <v>1.5868166172111254E+20</v>
      </c>
      <c r="C403">
        <f t="shared" si="14"/>
        <v>1.7454982789322382E+20</v>
      </c>
    </row>
    <row r="404" spans="1:3" x14ac:dyDescent="0.25">
      <c r="A404">
        <v>403</v>
      </c>
      <c r="B404">
        <f t="shared" si="13"/>
        <v>1.7454982789322382E+20</v>
      </c>
      <c r="C404">
        <f t="shared" si="14"/>
        <v>1.9200481068254623E+20</v>
      </c>
    </row>
    <row r="405" spans="1:3" x14ac:dyDescent="0.25">
      <c r="A405">
        <v>404</v>
      </c>
      <c r="B405">
        <f t="shared" si="13"/>
        <v>1.9200481068254623E+20</v>
      </c>
      <c r="C405">
        <f t="shared" si="14"/>
        <v>2.1120529175080085E+20</v>
      </c>
    </row>
    <row r="406" spans="1:3" x14ac:dyDescent="0.25">
      <c r="A406">
        <v>405</v>
      </c>
      <c r="B406">
        <f t="shared" si="13"/>
        <v>2.1120529175080085E+20</v>
      </c>
      <c r="C406">
        <f t="shared" si="14"/>
        <v>2.3232582092588096E+20</v>
      </c>
    </row>
    <row r="407" spans="1:3" x14ac:dyDescent="0.25">
      <c r="A407">
        <v>406</v>
      </c>
      <c r="B407">
        <f t="shared" si="13"/>
        <v>2.3232582092588096E+20</v>
      </c>
      <c r="C407">
        <f t="shared" si="14"/>
        <v>2.5555840301846908E+20</v>
      </c>
    </row>
    <row r="408" spans="1:3" x14ac:dyDescent="0.25">
      <c r="A408">
        <v>407</v>
      </c>
      <c r="B408">
        <f t="shared" si="13"/>
        <v>2.5555840301846908E+20</v>
      </c>
      <c r="C408">
        <f t="shared" si="14"/>
        <v>2.81114243320316E+20</v>
      </c>
    </row>
    <row r="409" spans="1:3" x14ac:dyDescent="0.25">
      <c r="A409">
        <v>408</v>
      </c>
      <c r="B409">
        <f t="shared" si="13"/>
        <v>2.81114243320316E+20</v>
      </c>
      <c r="C409">
        <f t="shared" si="14"/>
        <v>3.0922566765234763E+20</v>
      </c>
    </row>
    <row r="410" spans="1:3" x14ac:dyDescent="0.25">
      <c r="A410">
        <v>409</v>
      </c>
      <c r="B410">
        <f t="shared" si="13"/>
        <v>3.0922566765234763E+20</v>
      </c>
      <c r="C410">
        <f t="shared" si="14"/>
        <v>3.4014823441758244E+20</v>
      </c>
    </row>
    <row r="411" spans="1:3" x14ac:dyDescent="0.25">
      <c r="A411">
        <v>410</v>
      </c>
      <c r="B411">
        <f t="shared" si="13"/>
        <v>3.4014823441758244E+20</v>
      </c>
      <c r="C411">
        <f t="shared" si="14"/>
        <v>3.7416305785934073E+20</v>
      </c>
    </row>
    <row r="412" spans="1:3" x14ac:dyDescent="0.25">
      <c r="A412">
        <v>411</v>
      </c>
      <c r="B412">
        <f t="shared" si="13"/>
        <v>3.7416305785934073E+20</v>
      </c>
      <c r="C412">
        <f t="shared" si="14"/>
        <v>4.1157936364527485E+20</v>
      </c>
    </row>
    <row r="413" spans="1:3" x14ac:dyDescent="0.25">
      <c r="A413">
        <v>412</v>
      </c>
      <c r="B413">
        <f t="shared" si="13"/>
        <v>4.1157936364527485E+20</v>
      </c>
      <c r="C413">
        <f t="shared" si="14"/>
        <v>4.527373000098024E+20</v>
      </c>
    </row>
    <row r="414" spans="1:3" x14ac:dyDescent="0.25">
      <c r="A414">
        <v>413</v>
      </c>
      <c r="B414">
        <f t="shared" si="13"/>
        <v>4.527373000098024E+20</v>
      </c>
      <c r="C414">
        <f t="shared" si="14"/>
        <v>4.9801103001078268E+20</v>
      </c>
    </row>
    <row r="415" spans="1:3" x14ac:dyDescent="0.25">
      <c r="A415">
        <v>414</v>
      </c>
      <c r="B415">
        <f t="shared" si="13"/>
        <v>4.9801103001078268E+20</v>
      </c>
      <c r="C415">
        <f t="shared" si="14"/>
        <v>5.4781213301186101E+20</v>
      </c>
    </row>
    <row r="416" spans="1:3" x14ac:dyDescent="0.25">
      <c r="A416">
        <v>415</v>
      </c>
      <c r="B416">
        <f t="shared" si="13"/>
        <v>5.4781213301186101E+20</v>
      </c>
      <c r="C416">
        <f t="shared" si="14"/>
        <v>6.0259334631304711E+20</v>
      </c>
    </row>
    <row r="417" spans="1:3" x14ac:dyDescent="0.25">
      <c r="A417">
        <v>416</v>
      </c>
      <c r="B417">
        <f t="shared" si="13"/>
        <v>6.0259334631304711E+20</v>
      </c>
      <c r="C417">
        <f t="shared" si="14"/>
        <v>6.6285268094435184E+20</v>
      </c>
    </row>
    <row r="418" spans="1:3" x14ac:dyDescent="0.25">
      <c r="A418">
        <v>417</v>
      </c>
      <c r="B418">
        <f t="shared" si="13"/>
        <v>6.6285268094435184E+20</v>
      </c>
      <c r="C418">
        <f t="shared" si="14"/>
        <v>7.2913794903878704E+20</v>
      </c>
    </row>
    <row r="419" spans="1:3" x14ac:dyDescent="0.25">
      <c r="A419">
        <v>418</v>
      </c>
      <c r="B419">
        <f t="shared" si="13"/>
        <v>7.2913794903878704E+20</v>
      </c>
      <c r="C419">
        <f t="shared" si="14"/>
        <v>8.0205174394266583E+20</v>
      </c>
    </row>
    <row r="420" spans="1:3" x14ac:dyDescent="0.25">
      <c r="A420">
        <v>419</v>
      </c>
      <c r="B420">
        <f t="shared" si="13"/>
        <v>8.0205174394266583E+20</v>
      </c>
      <c r="C420">
        <f t="shared" si="14"/>
        <v>8.8225691833693254E+20</v>
      </c>
    </row>
    <row r="421" spans="1:3" x14ac:dyDescent="0.25">
      <c r="A421">
        <v>420</v>
      </c>
      <c r="B421">
        <f t="shared" si="13"/>
        <v>8.8225691833693254E+20</v>
      </c>
      <c r="C421">
        <f t="shared" si="14"/>
        <v>9.7048261017062592E+20</v>
      </c>
    </row>
    <row r="422" spans="1:3" x14ac:dyDescent="0.25">
      <c r="A422">
        <v>421</v>
      </c>
      <c r="B422">
        <f t="shared" si="13"/>
        <v>9.7048261017062592E+20</v>
      </c>
      <c r="C422">
        <f t="shared" si="14"/>
        <v>1.0675308711876887E+21</v>
      </c>
    </row>
    <row r="423" spans="1:3" x14ac:dyDescent="0.25">
      <c r="A423">
        <v>422</v>
      </c>
      <c r="B423">
        <f t="shared" si="13"/>
        <v>1.0675308711876887E+21</v>
      </c>
      <c r="C423">
        <f t="shared" si="14"/>
        <v>1.1742839583064576E+21</v>
      </c>
    </row>
    <row r="424" spans="1:3" x14ac:dyDescent="0.25">
      <c r="A424">
        <v>423</v>
      </c>
      <c r="B424">
        <f t="shared" si="13"/>
        <v>1.1742839583064576E+21</v>
      </c>
      <c r="C424">
        <f t="shared" si="14"/>
        <v>1.2917123541371034E+21</v>
      </c>
    </row>
    <row r="425" spans="1:3" x14ac:dyDescent="0.25">
      <c r="A425">
        <v>424</v>
      </c>
      <c r="B425">
        <f t="shared" ref="B425:B488" si="15">C424</f>
        <v>1.2917123541371034E+21</v>
      </c>
      <c r="C425">
        <f t="shared" ref="C425:C488" si="16">B425*1.1</f>
        <v>1.4208835895508137E+21</v>
      </c>
    </row>
    <row r="426" spans="1:3" x14ac:dyDescent="0.25">
      <c r="A426">
        <v>425</v>
      </c>
      <c r="B426">
        <f t="shared" si="15"/>
        <v>1.4208835895508137E+21</v>
      </c>
      <c r="C426">
        <f t="shared" si="16"/>
        <v>1.5629719485058953E+21</v>
      </c>
    </row>
    <row r="427" spans="1:3" x14ac:dyDescent="0.25">
      <c r="A427">
        <v>426</v>
      </c>
      <c r="B427">
        <f t="shared" si="15"/>
        <v>1.5629719485058953E+21</v>
      </c>
      <c r="C427">
        <f t="shared" si="16"/>
        <v>1.7192691433564849E+21</v>
      </c>
    </row>
    <row r="428" spans="1:3" x14ac:dyDescent="0.25">
      <c r="A428">
        <v>427</v>
      </c>
      <c r="B428">
        <f t="shared" si="15"/>
        <v>1.7192691433564849E+21</v>
      </c>
      <c r="C428">
        <f t="shared" si="16"/>
        <v>1.8911960576921334E+21</v>
      </c>
    </row>
    <row r="429" spans="1:3" x14ac:dyDescent="0.25">
      <c r="A429">
        <v>428</v>
      </c>
      <c r="B429">
        <f t="shared" si="15"/>
        <v>1.8911960576921334E+21</v>
      </c>
      <c r="C429">
        <f t="shared" si="16"/>
        <v>2.080315663461347E+21</v>
      </c>
    </row>
    <row r="430" spans="1:3" x14ac:dyDescent="0.25">
      <c r="A430">
        <v>429</v>
      </c>
      <c r="B430">
        <f t="shared" si="15"/>
        <v>2.080315663461347E+21</v>
      </c>
      <c r="C430">
        <f t="shared" si="16"/>
        <v>2.288347229807482E+21</v>
      </c>
    </row>
    <row r="431" spans="1:3" x14ac:dyDescent="0.25">
      <c r="A431">
        <v>430</v>
      </c>
      <c r="B431">
        <f t="shared" si="15"/>
        <v>2.288347229807482E+21</v>
      </c>
      <c r="C431">
        <f t="shared" si="16"/>
        <v>2.5171819527882303E+21</v>
      </c>
    </row>
    <row r="432" spans="1:3" x14ac:dyDescent="0.25">
      <c r="A432">
        <v>431</v>
      </c>
      <c r="B432">
        <f t="shared" si="15"/>
        <v>2.5171819527882303E+21</v>
      </c>
      <c r="C432">
        <f t="shared" si="16"/>
        <v>2.7689001480670533E+21</v>
      </c>
    </row>
    <row r="433" spans="1:3" x14ac:dyDescent="0.25">
      <c r="A433">
        <v>432</v>
      </c>
      <c r="B433">
        <f t="shared" si="15"/>
        <v>2.7689001480670533E+21</v>
      </c>
      <c r="C433">
        <f t="shared" si="16"/>
        <v>3.045790162873759E+21</v>
      </c>
    </row>
    <row r="434" spans="1:3" x14ac:dyDescent="0.25">
      <c r="A434">
        <v>433</v>
      </c>
      <c r="B434">
        <f t="shared" si="15"/>
        <v>3.045790162873759E+21</v>
      </c>
      <c r="C434">
        <f t="shared" si="16"/>
        <v>3.3503691791611352E+21</v>
      </c>
    </row>
    <row r="435" spans="1:3" x14ac:dyDescent="0.25">
      <c r="A435">
        <v>434</v>
      </c>
      <c r="B435">
        <f t="shared" si="15"/>
        <v>3.3503691791611352E+21</v>
      </c>
      <c r="C435">
        <f t="shared" si="16"/>
        <v>3.6854060970772487E+21</v>
      </c>
    </row>
    <row r="436" spans="1:3" x14ac:dyDescent="0.25">
      <c r="A436">
        <v>435</v>
      </c>
      <c r="B436">
        <f t="shared" si="15"/>
        <v>3.6854060970772487E+21</v>
      </c>
      <c r="C436">
        <f t="shared" si="16"/>
        <v>4.053946706784974E+21</v>
      </c>
    </row>
    <row r="437" spans="1:3" x14ac:dyDescent="0.25">
      <c r="A437">
        <v>436</v>
      </c>
      <c r="B437">
        <f t="shared" si="15"/>
        <v>4.053946706784974E+21</v>
      </c>
      <c r="C437">
        <f t="shared" si="16"/>
        <v>4.4593413774634716E+21</v>
      </c>
    </row>
    <row r="438" spans="1:3" x14ac:dyDescent="0.25">
      <c r="A438">
        <v>437</v>
      </c>
      <c r="B438">
        <f t="shared" si="15"/>
        <v>4.4593413774634716E+21</v>
      </c>
      <c r="C438">
        <f t="shared" si="16"/>
        <v>4.9052755152098191E+21</v>
      </c>
    </row>
    <row r="439" spans="1:3" x14ac:dyDescent="0.25">
      <c r="A439">
        <v>438</v>
      </c>
      <c r="B439">
        <f t="shared" si="15"/>
        <v>4.9052755152098191E+21</v>
      </c>
      <c r="C439">
        <f t="shared" si="16"/>
        <v>5.395803066730801E+21</v>
      </c>
    </row>
    <row r="440" spans="1:3" x14ac:dyDescent="0.25">
      <c r="A440">
        <v>439</v>
      </c>
      <c r="B440">
        <f t="shared" si="15"/>
        <v>5.395803066730801E+21</v>
      </c>
      <c r="C440">
        <f t="shared" si="16"/>
        <v>5.9353833734038817E+21</v>
      </c>
    </row>
    <row r="441" spans="1:3" x14ac:dyDescent="0.25">
      <c r="A441">
        <v>440</v>
      </c>
      <c r="B441">
        <f t="shared" si="15"/>
        <v>5.9353833734038817E+21</v>
      </c>
      <c r="C441">
        <f t="shared" si="16"/>
        <v>6.52892171074427E+21</v>
      </c>
    </row>
    <row r="442" spans="1:3" x14ac:dyDescent="0.25">
      <c r="A442">
        <v>441</v>
      </c>
      <c r="B442">
        <f t="shared" si="15"/>
        <v>6.52892171074427E+21</v>
      </c>
      <c r="C442">
        <f t="shared" si="16"/>
        <v>7.1818138818186974E+21</v>
      </c>
    </row>
    <row r="443" spans="1:3" x14ac:dyDescent="0.25">
      <c r="A443">
        <v>442</v>
      </c>
      <c r="B443">
        <f t="shared" si="15"/>
        <v>7.1818138818186974E+21</v>
      </c>
      <c r="C443">
        <f t="shared" si="16"/>
        <v>7.8999952700005679E+21</v>
      </c>
    </row>
    <row r="444" spans="1:3" x14ac:dyDescent="0.25">
      <c r="A444">
        <v>443</v>
      </c>
      <c r="B444">
        <f t="shared" si="15"/>
        <v>7.8999952700005679E+21</v>
      </c>
      <c r="C444">
        <f t="shared" si="16"/>
        <v>8.6899947970006258E+21</v>
      </c>
    </row>
    <row r="445" spans="1:3" x14ac:dyDescent="0.25">
      <c r="A445">
        <v>444</v>
      </c>
      <c r="B445">
        <f t="shared" si="15"/>
        <v>8.6899947970006258E+21</v>
      </c>
      <c r="C445">
        <f t="shared" si="16"/>
        <v>9.5589942767006893E+21</v>
      </c>
    </row>
    <row r="446" spans="1:3" x14ac:dyDescent="0.25">
      <c r="A446">
        <v>445</v>
      </c>
      <c r="B446">
        <f t="shared" si="15"/>
        <v>9.5589942767006893E+21</v>
      </c>
      <c r="C446">
        <f t="shared" si="16"/>
        <v>1.051489370437076E+22</v>
      </c>
    </row>
    <row r="447" spans="1:3" x14ac:dyDescent="0.25">
      <c r="A447">
        <v>446</v>
      </c>
      <c r="B447">
        <f t="shared" si="15"/>
        <v>1.051489370437076E+22</v>
      </c>
      <c r="C447">
        <f t="shared" si="16"/>
        <v>1.1566383074807837E+22</v>
      </c>
    </row>
    <row r="448" spans="1:3" x14ac:dyDescent="0.25">
      <c r="A448">
        <v>447</v>
      </c>
      <c r="B448">
        <f t="shared" si="15"/>
        <v>1.1566383074807837E+22</v>
      </c>
      <c r="C448">
        <f t="shared" si="16"/>
        <v>1.2723021382288622E+22</v>
      </c>
    </row>
    <row r="449" spans="1:3" x14ac:dyDescent="0.25">
      <c r="A449">
        <v>448</v>
      </c>
      <c r="B449">
        <f t="shared" si="15"/>
        <v>1.2723021382288622E+22</v>
      </c>
      <c r="C449">
        <f t="shared" si="16"/>
        <v>1.3995323520517486E+22</v>
      </c>
    </row>
    <row r="450" spans="1:3" x14ac:dyDescent="0.25">
      <c r="A450">
        <v>449</v>
      </c>
      <c r="B450">
        <f t="shared" si="15"/>
        <v>1.3995323520517486E+22</v>
      </c>
      <c r="C450">
        <f t="shared" si="16"/>
        <v>1.5394855872569237E+22</v>
      </c>
    </row>
    <row r="451" spans="1:3" x14ac:dyDescent="0.25">
      <c r="A451">
        <v>450</v>
      </c>
      <c r="B451">
        <f t="shared" si="15"/>
        <v>1.5394855872569237E+22</v>
      </c>
      <c r="C451">
        <f t="shared" si="16"/>
        <v>1.6934341459826161E+22</v>
      </c>
    </row>
    <row r="452" spans="1:3" x14ac:dyDescent="0.25">
      <c r="A452">
        <v>451</v>
      </c>
      <c r="B452">
        <f t="shared" si="15"/>
        <v>1.6934341459826161E+22</v>
      </c>
      <c r="C452">
        <f t="shared" si="16"/>
        <v>1.8627775605808778E+22</v>
      </c>
    </row>
    <row r="453" spans="1:3" x14ac:dyDescent="0.25">
      <c r="A453">
        <v>452</v>
      </c>
      <c r="B453">
        <f t="shared" si="15"/>
        <v>1.8627775605808778E+22</v>
      </c>
      <c r="C453">
        <f t="shared" si="16"/>
        <v>2.049055316638966E+22</v>
      </c>
    </row>
    <row r="454" spans="1:3" x14ac:dyDescent="0.25">
      <c r="A454">
        <v>453</v>
      </c>
      <c r="B454">
        <f t="shared" si="15"/>
        <v>2.049055316638966E+22</v>
      </c>
      <c r="C454">
        <f t="shared" si="16"/>
        <v>2.2539608483028628E+22</v>
      </c>
    </row>
    <row r="455" spans="1:3" x14ac:dyDescent="0.25">
      <c r="A455">
        <v>454</v>
      </c>
      <c r="B455">
        <f t="shared" si="15"/>
        <v>2.2539608483028628E+22</v>
      </c>
      <c r="C455">
        <f t="shared" si="16"/>
        <v>2.479356933133149E+22</v>
      </c>
    </row>
    <row r="456" spans="1:3" x14ac:dyDescent="0.25">
      <c r="A456">
        <v>455</v>
      </c>
      <c r="B456">
        <f t="shared" si="15"/>
        <v>2.479356933133149E+22</v>
      </c>
      <c r="C456">
        <f t="shared" si="16"/>
        <v>2.7272926264464643E+22</v>
      </c>
    </row>
    <row r="457" spans="1:3" x14ac:dyDescent="0.25">
      <c r="A457">
        <v>456</v>
      </c>
      <c r="B457">
        <f t="shared" si="15"/>
        <v>2.7272926264464643E+22</v>
      </c>
      <c r="C457">
        <f t="shared" si="16"/>
        <v>3.000021889091111E+22</v>
      </c>
    </row>
    <row r="458" spans="1:3" x14ac:dyDescent="0.25">
      <c r="A458">
        <v>457</v>
      </c>
      <c r="B458">
        <f t="shared" si="15"/>
        <v>3.000021889091111E+22</v>
      </c>
      <c r="C458">
        <f t="shared" si="16"/>
        <v>3.3000240780002225E+22</v>
      </c>
    </row>
    <row r="459" spans="1:3" x14ac:dyDescent="0.25">
      <c r="A459">
        <v>458</v>
      </c>
      <c r="B459">
        <f t="shared" si="15"/>
        <v>3.3000240780002225E+22</v>
      </c>
      <c r="C459">
        <f t="shared" si="16"/>
        <v>3.6300264858002452E+22</v>
      </c>
    </row>
    <row r="460" spans="1:3" x14ac:dyDescent="0.25">
      <c r="A460">
        <v>459</v>
      </c>
      <c r="B460">
        <f t="shared" si="15"/>
        <v>3.6300264858002452E+22</v>
      </c>
      <c r="C460">
        <f t="shared" si="16"/>
        <v>3.9930291343802698E+22</v>
      </c>
    </row>
    <row r="461" spans="1:3" x14ac:dyDescent="0.25">
      <c r="A461">
        <v>460</v>
      </c>
      <c r="B461">
        <f t="shared" si="15"/>
        <v>3.9930291343802698E+22</v>
      </c>
      <c r="C461">
        <f t="shared" si="16"/>
        <v>4.3923320478182968E+22</v>
      </c>
    </row>
    <row r="462" spans="1:3" x14ac:dyDescent="0.25">
      <c r="A462">
        <v>461</v>
      </c>
      <c r="B462">
        <f t="shared" si="15"/>
        <v>4.3923320478182968E+22</v>
      </c>
      <c r="C462">
        <f t="shared" si="16"/>
        <v>4.8315652526001271E+22</v>
      </c>
    </row>
    <row r="463" spans="1:3" x14ac:dyDescent="0.25">
      <c r="A463">
        <v>462</v>
      </c>
      <c r="B463">
        <f t="shared" si="15"/>
        <v>4.8315652526001271E+22</v>
      </c>
      <c r="C463">
        <f t="shared" si="16"/>
        <v>5.3147217778601405E+22</v>
      </c>
    </row>
    <row r="464" spans="1:3" x14ac:dyDescent="0.25">
      <c r="A464">
        <v>463</v>
      </c>
      <c r="B464">
        <f t="shared" si="15"/>
        <v>5.3147217778601405E+22</v>
      </c>
      <c r="C464">
        <f t="shared" si="16"/>
        <v>5.8461939556461551E+22</v>
      </c>
    </row>
    <row r="465" spans="1:3" x14ac:dyDescent="0.25">
      <c r="A465">
        <v>464</v>
      </c>
      <c r="B465">
        <f t="shared" si="15"/>
        <v>5.8461939556461551E+22</v>
      </c>
      <c r="C465">
        <f t="shared" si="16"/>
        <v>6.4308133512107709E+22</v>
      </c>
    </row>
    <row r="466" spans="1:3" x14ac:dyDescent="0.25">
      <c r="A466">
        <v>465</v>
      </c>
      <c r="B466">
        <f t="shared" si="15"/>
        <v>6.4308133512107709E+22</v>
      </c>
      <c r="C466">
        <f t="shared" si="16"/>
        <v>7.0738946863318482E+22</v>
      </c>
    </row>
    <row r="467" spans="1:3" x14ac:dyDescent="0.25">
      <c r="A467">
        <v>466</v>
      </c>
      <c r="B467">
        <f t="shared" si="15"/>
        <v>7.0738946863318482E+22</v>
      </c>
      <c r="C467">
        <f t="shared" si="16"/>
        <v>7.7812841549650329E+22</v>
      </c>
    </row>
    <row r="468" spans="1:3" x14ac:dyDescent="0.25">
      <c r="A468">
        <v>467</v>
      </c>
      <c r="B468">
        <f t="shared" si="15"/>
        <v>7.7812841549650329E+22</v>
      </c>
      <c r="C468">
        <f t="shared" si="16"/>
        <v>8.5594125704615371E+22</v>
      </c>
    </row>
    <row r="469" spans="1:3" x14ac:dyDescent="0.25">
      <c r="A469">
        <v>468</v>
      </c>
      <c r="B469">
        <f t="shared" si="15"/>
        <v>8.5594125704615371E+22</v>
      </c>
      <c r="C469">
        <f t="shared" si="16"/>
        <v>9.4153538275076924E+22</v>
      </c>
    </row>
    <row r="470" spans="1:3" x14ac:dyDescent="0.25">
      <c r="A470">
        <v>469</v>
      </c>
      <c r="B470">
        <f t="shared" si="15"/>
        <v>9.4153538275076924E+22</v>
      </c>
      <c r="C470">
        <f t="shared" si="16"/>
        <v>1.0356889210258462E+23</v>
      </c>
    </row>
    <row r="471" spans="1:3" x14ac:dyDescent="0.25">
      <c r="A471">
        <v>470</v>
      </c>
      <c r="B471">
        <f t="shared" si="15"/>
        <v>1.0356889210258462E+23</v>
      </c>
      <c r="C471">
        <f t="shared" si="16"/>
        <v>1.1392578131284309E+23</v>
      </c>
    </row>
    <row r="472" spans="1:3" x14ac:dyDescent="0.25">
      <c r="A472">
        <v>471</v>
      </c>
      <c r="B472">
        <f t="shared" si="15"/>
        <v>1.1392578131284309E+23</v>
      </c>
      <c r="C472">
        <f t="shared" si="16"/>
        <v>1.2531835944412741E+23</v>
      </c>
    </row>
    <row r="473" spans="1:3" x14ac:dyDescent="0.25">
      <c r="A473">
        <v>472</v>
      </c>
      <c r="B473">
        <f t="shared" si="15"/>
        <v>1.2531835944412741E+23</v>
      </c>
      <c r="C473">
        <f t="shared" si="16"/>
        <v>1.3785019538854016E+23</v>
      </c>
    </row>
    <row r="474" spans="1:3" x14ac:dyDescent="0.25">
      <c r="A474">
        <v>473</v>
      </c>
      <c r="B474">
        <f t="shared" si="15"/>
        <v>1.3785019538854016E+23</v>
      </c>
      <c r="C474">
        <f t="shared" si="16"/>
        <v>1.5163521492739418E+23</v>
      </c>
    </row>
    <row r="475" spans="1:3" x14ac:dyDescent="0.25">
      <c r="A475">
        <v>474</v>
      </c>
      <c r="B475">
        <f t="shared" si="15"/>
        <v>1.5163521492739418E+23</v>
      </c>
      <c r="C475">
        <f t="shared" si="16"/>
        <v>1.667987364201336E+23</v>
      </c>
    </row>
    <row r="476" spans="1:3" x14ac:dyDescent="0.25">
      <c r="A476">
        <v>475</v>
      </c>
      <c r="B476">
        <f t="shared" si="15"/>
        <v>1.667987364201336E+23</v>
      </c>
      <c r="C476">
        <f t="shared" si="16"/>
        <v>1.8347861006214697E+23</v>
      </c>
    </row>
    <row r="477" spans="1:3" x14ac:dyDescent="0.25">
      <c r="A477">
        <v>476</v>
      </c>
      <c r="B477">
        <f t="shared" si="15"/>
        <v>1.8347861006214697E+23</v>
      </c>
      <c r="C477">
        <f t="shared" si="16"/>
        <v>2.0182647106836169E+23</v>
      </c>
    </row>
    <row r="478" spans="1:3" x14ac:dyDescent="0.25">
      <c r="A478">
        <v>477</v>
      </c>
      <c r="B478">
        <f t="shared" si="15"/>
        <v>2.0182647106836169E+23</v>
      </c>
      <c r="C478">
        <f t="shared" si="16"/>
        <v>2.2200911817519788E+23</v>
      </c>
    </row>
    <row r="479" spans="1:3" x14ac:dyDescent="0.25">
      <c r="A479">
        <v>478</v>
      </c>
      <c r="B479">
        <f t="shared" si="15"/>
        <v>2.2200911817519788E+23</v>
      </c>
      <c r="C479">
        <f t="shared" si="16"/>
        <v>2.4421002999271769E+23</v>
      </c>
    </row>
    <row r="480" spans="1:3" x14ac:dyDescent="0.25">
      <c r="A480">
        <v>479</v>
      </c>
      <c r="B480">
        <f t="shared" si="15"/>
        <v>2.4421002999271769E+23</v>
      </c>
      <c r="C480">
        <f t="shared" si="16"/>
        <v>2.6863103299198947E+23</v>
      </c>
    </row>
    <row r="481" spans="1:3" x14ac:dyDescent="0.25">
      <c r="A481">
        <v>480</v>
      </c>
      <c r="B481">
        <f t="shared" si="15"/>
        <v>2.6863103299198947E+23</v>
      </c>
      <c r="C481">
        <f t="shared" si="16"/>
        <v>2.9549413629118843E+23</v>
      </c>
    </row>
    <row r="482" spans="1:3" x14ac:dyDescent="0.25">
      <c r="A482">
        <v>481</v>
      </c>
      <c r="B482">
        <f t="shared" si="15"/>
        <v>2.9549413629118843E+23</v>
      </c>
      <c r="C482">
        <f t="shared" si="16"/>
        <v>3.2504354992030733E+23</v>
      </c>
    </row>
    <row r="483" spans="1:3" x14ac:dyDescent="0.25">
      <c r="A483">
        <v>482</v>
      </c>
      <c r="B483">
        <f t="shared" si="15"/>
        <v>3.2504354992030733E+23</v>
      </c>
      <c r="C483">
        <f t="shared" si="16"/>
        <v>3.5754790491233808E+23</v>
      </c>
    </row>
    <row r="484" spans="1:3" x14ac:dyDescent="0.25">
      <c r="A484">
        <v>483</v>
      </c>
      <c r="B484">
        <f t="shared" si="15"/>
        <v>3.5754790491233808E+23</v>
      </c>
      <c r="C484">
        <f t="shared" si="16"/>
        <v>3.9330269540357193E+23</v>
      </c>
    </row>
    <row r="485" spans="1:3" x14ac:dyDescent="0.25">
      <c r="A485">
        <v>484</v>
      </c>
      <c r="B485">
        <f t="shared" si="15"/>
        <v>3.9330269540357193E+23</v>
      </c>
      <c r="C485">
        <f t="shared" si="16"/>
        <v>4.3263296494392918E+23</v>
      </c>
    </row>
    <row r="486" spans="1:3" x14ac:dyDescent="0.25">
      <c r="A486">
        <v>485</v>
      </c>
      <c r="B486">
        <f t="shared" si="15"/>
        <v>4.3263296494392918E+23</v>
      </c>
      <c r="C486">
        <f t="shared" si="16"/>
        <v>4.7589626143832216E+23</v>
      </c>
    </row>
    <row r="487" spans="1:3" x14ac:dyDescent="0.25">
      <c r="A487">
        <v>486</v>
      </c>
      <c r="B487">
        <f t="shared" si="15"/>
        <v>4.7589626143832216E+23</v>
      </c>
      <c r="C487">
        <f t="shared" si="16"/>
        <v>5.2348588758215441E+23</v>
      </c>
    </row>
    <row r="488" spans="1:3" x14ac:dyDescent="0.25">
      <c r="A488">
        <v>487</v>
      </c>
      <c r="B488">
        <f t="shared" si="15"/>
        <v>5.2348588758215441E+23</v>
      </c>
      <c r="C488">
        <f t="shared" si="16"/>
        <v>5.7583447634036988E+23</v>
      </c>
    </row>
    <row r="489" spans="1:3" x14ac:dyDescent="0.25">
      <c r="A489">
        <v>488</v>
      </c>
      <c r="B489">
        <f t="shared" ref="B489:B509" si="17">C488</f>
        <v>5.7583447634036988E+23</v>
      </c>
      <c r="C489">
        <f t="shared" ref="C489:C509" si="18">B489*1.1</f>
        <v>6.3341792397440696E+23</v>
      </c>
    </row>
    <row r="490" spans="1:3" x14ac:dyDescent="0.25">
      <c r="A490">
        <v>489</v>
      </c>
      <c r="B490">
        <f t="shared" si="17"/>
        <v>6.3341792397440696E+23</v>
      </c>
      <c r="C490">
        <f t="shared" si="18"/>
        <v>6.9675971637184767E+23</v>
      </c>
    </row>
    <row r="491" spans="1:3" x14ac:dyDescent="0.25">
      <c r="A491">
        <v>490</v>
      </c>
      <c r="B491">
        <f t="shared" si="17"/>
        <v>6.9675971637184767E+23</v>
      </c>
      <c r="C491">
        <f t="shared" si="18"/>
        <v>7.6643568800903246E+23</v>
      </c>
    </row>
    <row r="492" spans="1:3" x14ac:dyDescent="0.25">
      <c r="A492">
        <v>491</v>
      </c>
      <c r="B492">
        <f t="shared" si="17"/>
        <v>7.6643568800903246E+23</v>
      </c>
      <c r="C492">
        <f t="shared" si="18"/>
        <v>8.4307925680993582E+23</v>
      </c>
    </row>
    <row r="493" spans="1:3" x14ac:dyDescent="0.25">
      <c r="A493">
        <v>492</v>
      </c>
      <c r="B493">
        <f t="shared" si="17"/>
        <v>8.4307925680993582E+23</v>
      </c>
      <c r="C493">
        <f t="shared" si="18"/>
        <v>9.2738718249092941E+23</v>
      </c>
    </row>
    <row r="494" spans="1:3" x14ac:dyDescent="0.25">
      <c r="A494">
        <v>493</v>
      </c>
      <c r="B494">
        <f t="shared" si="17"/>
        <v>9.2738718249092941E+23</v>
      </c>
      <c r="C494">
        <f t="shared" si="18"/>
        <v>1.0201259007400224E+24</v>
      </c>
    </row>
    <row r="495" spans="1:3" x14ac:dyDescent="0.25">
      <c r="A495">
        <v>494</v>
      </c>
      <c r="B495">
        <f t="shared" si="17"/>
        <v>1.0201259007400224E+24</v>
      </c>
      <c r="C495">
        <f t="shared" si="18"/>
        <v>1.1221384908140247E+24</v>
      </c>
    </row>
    <row r="496" spans="1:3" x14ac:dyDescent="0.25">
      <c r="A496">
        <v>495</v>
      </c>
      <c r="B496">
        <f t="shared" si="17"/>
        <v>1.1221384908140247E+24</v>
      </c>
      <c r="C496">
        <f t="shared" si="18"/>
        <v>1.2343523398954272E+24</v>
      </c>
    </row>
    <row r="497" spans="1:3" x14ac:dyDescent="0.25">
      <c r="A497">
        <v>496</v>
      </c>
      <c r="B497">
        <f t="shared" si="17"/>
        <v>1.2343523398954272E+24</v>
      </c>
      <c r="C497">
        <f t="shared" si="18"/>
        <v>1.35778757388497E+24</v>
      </c>
    </row>
    <row r="498" spans="1:3" x14ac:dyDescent="0.25">
      <c r="A498">
        <v>497</v>
      </c>
      <c r="B498">
        <f t="shared" si="17"/>
        <v>1.35778757388497E+24</v>
      </c>
      <c r="C498">
        <f t="shared" si="18"/>
        <v>1.493566331273467E+24</v>
      </c>
    </row>
    <row r="499" spans="1:3" x14ac:dyDescent="0.25">
      <c r="A499">
        <v>498</v>
      </c>
      <c r="B499">
        <f t="shared" si="17"/>
        <v>1.493566331273467E+24</v>
      </c>
      <c r="C499">
        <f t="shared" si="18"/>
        <v>1.6429229644008137E+24</v>
      </c>
    </row>
    <row r="500" spans="1:3" x14ac:dyDescent="0.25">
      <c r="A500">
        <v>499</v>
      </c>
      <c r="B500">
        <f t="shared" si="17"/>
        <v>1.6429229644008137E+24</v>
      </c>
      <c r="C500">
        <f t="shared" si="18"/>
        <v>1.8072152608408954E+24</v>
      </c>
    </row>
    <row r="501" spans="1:3" x14ac:dyDescent="0.25">
      <c r="A501">
        <v>500</v>
      </c>
      <c r="B501">
        <f t="shared" si="17"/>
        <v>1.8072152608408954E+24</v>
      </c>
      <c r="C501">
        <f t="shared" si="18"/>
        <v>1.987936786924985E+24</v>
      </c>
    </row>
    <row r="502" spans="1:3" x14ac:dyDescent="0.25">
      <c r="A502">
        <v>501</v>
      </c>
      <c r="B502">
        <f t="shared" si="17"/>
        <v>1.987936786924985E+24</v>
      </c>
      <c r="C502">
        <f t="shared" si="18"/>
        <v>2.1867304656174837E+24</v>
      </c>
    </row>
    <row r="503" spans="1:3" x14ac:dyDescent="0.25">
      <c r="A503">
        <v>502</v>
      </c>
      <c r="B503">
        <f t="shared" si="17"/>
        <v>2.1867304656174837E+24</v>
      </c>
      <c r="C503">
        <f t="shared" si="18"/>
        <v>2.4054035121792321E+24</v>
      </c>
    </row>
    <row r="504" spans="1:3" x14ac:dyDescent="0.25">
      <c r="A504">
        <v>503</v>
      </c>
      <c r="B504">
        <f t="shared" si="17"/>
        <v>2.4054035121792321E+24</v>
      </c>
      <c r="C504">
        <f t="shared" si="18"/>
        <v>2.6459438633971557E+24</v>
      </c>
    </row>
    <row r="505" spans="1:3" x14ac:dyDescent="0.25">
      <c r="A505">
        <v>504</v>
      </c>
      <c r="B505">
        <f t="shared" si="17"/>
        <v>2.6459438633971557E+24</v>
      </c>
      <c r="C505">
        <f t="shared" si="18"/>
        <v>2.9105382497368712E+24</v>
      </c>
    </row>
    <row r="506" spans="1:3" x14ac:dyDescent="0.25">
      <c r="A506">
        <v>505</v>
      </c>
      <c r="B506">
        <f t="shared" si="17"/>
        <v>2.9105382497368712E+24</v>
      </c>
      <c r="C506">
        <f t="shared" si="18"/>
        <v>3.2015920747105587E+24</v>
      </c>
    </row>
    <row r="507" spans="1:3" x14ac:dyDescent="0.25">
      <c r="A507">
        <v>506</v>
      </c>
      <c r="B507">
        <f t="shared" si="17"/>
        <v>3.2015920747105587E+24</v>
      </c>
      <c r="C507">
        <f t="shared" si="18"/>
        <v>3.5217512821816147E+24</v>
      </c>
    </row>
    <row r="508" spans="1:3" x14ac:dyDescent="0.25">
      <c r="A508">
        <v>507</v>
      </c>
      <c r="B508">
        <f t="shared" si="17"/>
        <v>3.5217512821816147E+24</v>
      </c>
      <c r="C508">
        <f t="shared" si="18"/>
        <v>3.8739264103997763E+24</v>
      </c>
    </row>
    <row r="509" spans="1:3" x14ac:dyDescent="0.25">
      <c r="A509">
        <v>508</v>
      </c>
      <c r="B509">
        <f t="shared" si="17"/>
        <v>3.8739264103997763E+24</v>
      </c>
      <c r="C509">
        <f t="shared" si="18"/>
        <v>4.2613190514397541E+24</v>
      </c>
    </row>
  </sheetData>
  <pageMargins left="0.25" right="0.25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42D276-7BAA-499D-B00F-5DA2A619129C}">
  <sheetPr codeName="Sheet1">
    <tabColor rgb="FFFF0000"/>
  </sheetPr>
  <dimension ref="A1:J11"/>
  <sheetViews>
    <sheetView zoomScale="130" zoomScaleNormal="130" workbookViewId="0">
      <selection activeCell="D10" sqref="D10"/>
    </sheetView>
  </sheetViews>
  <sheetFormatPr defaultRowHeight="15" x14ac:dyDescent="0.25"/>
  <cols>
    <col min="1" max="1" width="13.7109375" style="6" bestFit="1" customWidth="1"/>
    <col min="7" max="7" width="13.140625" bestFit="1" customWidth="1"/>
  </cols>
  <sheetData>
    <row r="1" spans="1:10" x14ac:dyDescent="0.25">
      <c r="A1" s="6" t="s">
        <v>15</v>
      </c>
      <c r="B1" t="s">
        <v>16</v>
      </c>
    </row>
    <row r="2" spans="1:10" x14ac:dyDescent="0.25">
      <c r="A2" s="6">
        <v>43832</v>
      </c>
      <c r="B2">
        <v>1</v>
      </c>
      <c r="G2" t="str">
        <f>GetTNT(A2:A7,B2:B7)</f>
        <v>ok</v>
      </c>
    </row>
    <row r="3" spans="1:10" x14ac:dyDescent="0.25">
      <c r="A3" s="6">
        <v>43832</v>
      </c>
      <c r="B3">
        <v>2</v>
      </c>
      <c r="J3">
        <f>5000/0.05</f>
        <v>100000</v>
      </c>
    </row>
    <row r="4" spans="1:10" x14ac:dyDescent="0.25">
      <c r="A4" s="6">
        <v>43833</v>
      </c>
      <c r="B4">
        <v>3</v>
      </c>
    </row>
    <row r="5" spans="1:10" x14ac:dyDescent="0.25">
      <c r="A5" s="6">
        <v>43834</v>
      </c>
      <c r="B5">
        <v>4</v>
      </c>
    </row>
    <row r="6" spans="1:10" x14ac:dyDescent="0.25">
      <c r="A6" s="6">
        <v>43834</v>
      </c>
      <c r="B6">
        <v>5</v>
      </c>
    </row>
    <row r="7" spans="1:10" x14ac:dyDescent="0.25">
      <c r="A7" s="6">
        <v>43834</v>
      </c>
      <c r="B7">
        <v>6</v>
      </c>
      <c r="E7" s="1"/>
    </row>
    <row r="8" spans="1:10" x14ac:dyDescent="0.25">
      <c r="A8" s="6">
        <v>43835</v>
      </c>
      <c r="B8">
        <v>1.1000000000000001</v>
      </c>
    </row>
    <row r="9" spans="1:10" x14ac:dyDescent="0.25">
      <c r="A9" s="6">
        <v>43835</v>
      </c>
      <c r="B9">
        <v>2.2000000000000002</v>
      </c>
    </row>
    <row r="10" spans="1:10" x14ac:dyDescent="0.25">
      <c r="A10" s="6">
        <v>43835</v>
      </c>
      <c r="B10">
        <v>3.3</v>
      </c>
    </row>
    <row r="11" spans="1:10" x14ac:dyDescent="0.25">
      <c r="A11" s="6">
        <v>43835</v>
      </c>
      <c r="B11">
        <v>4.4000000000000004</v>
      </c>
    </row>
  </sheetData>
  <dataConsolidate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007DB2-6211-49E8-9AB6-40A308F43051}">
  <sheetPr codeName="Sheet2"/>
  <dimension ref="A1:J24"/>
  <sheetViews>
    <sheetView workbookViewId="0">
      <selection activeCell="D24" sqref="D24"/>
    </sheetView>
  </sheetViews>
  <sheetFormatPr defaultRowHeight="15" x14ac:dyDescent="0.25"/>
  <sheetData>
    <row r="1" spans="1:10" x14ac:dyDescent="0.25">
      <c r="A1" t="s">
        <v>8</v>
      </c>
      <c r="B1" t="s">
        <v>9</v>
      </c>
      <c r="C1" t="s">
        <v>10</v>
      </c>
      <c r="D1" t="s">
        <v>3</v>
      </c>
      <c r="E1" t="s">
        <v>11</v>
      </c>
      <c r="H1" t="s">
        <v>12</v>
      </c>
      <c r="I1" t="s">
        <v>13</v>
      </c>
    </row>
    <row r="2" spans="1:10" x14ac:dyDescent="0.25">
      <c r="A2">
        <v>1</v>
      </c>
      <c r="B2">
        <v>200</v>
      </c>
      <c r="C2">
        <v>0</v>
      </c>
      <c r="D2" s="5">
        <v>0.03</v>
      </c>
      <c r="E2">
        <f>(B2+C2)*(100%+D2)</f>
        <v>206</v>
      </c>
    </row>
    <row r="3" spans="1:10" x14ac:dyDescent="0.25">
      <c r="A3">
        <v>2</v>
      </c>
      <c r="B3">
        <v>200</v>
      </c>
      <c r="C3">
        <f>E2</f>
        <v>206</v>
      </c>
      <c r="D3" s="5">
        <v>0.03</v>
      </c>
      <c r="E3">
        <f>(B3+C3)*(100%+D3)</f>
        <v>418.18</v>
      </c>
    </row>
    <row r="4" spans="1:10" x14ac:dyDescent="0.25">
      <c r="A4">
        <v>3</v>
      </c>
      <c r="B4">
        <v>200</v>
      </c>
      <c r="C4">
        <f t="shared" ref="C4:C24" si="0">E3</f>
        <v>418.18</v>
      </c>
      <c r="D4" s="5">
        <v>0.03</v>
      </c>
      <c r="E4">
        <f t="shared" ref="E4:E24" si="1">(B4+C4)*(100%+D4)</f>
        <v>636.72540000000004</v>
      </c>
    </row>
    <row r="5" spans="1:10" x14ac:dyDescent="0.25">
      <c r="A5">
        <v>4</v>
      </c>
      <c r="B5">
        <v>200</v>
      </c>
      <c r="C5">
        <f t="shared" si="0"/>
        <v>636.72540000000004</v>
      </c>
      <c r="D5" s="5">
        <v>0.03</v>
      </c>
      <c r="E5">
        <f t="shared" si="1"/>
        <v>861.82716200000004</v>
      </c>
    </row>
    <row r="6" spans="1:10" x14ac:dyDescent="0.25">
      <c r="A6">
        <v>5</v>
      </c>
      <c r="B6">
        <v>200</v>
      </c>
      <c r="C6">
        <f t="shared" si="0"/>
        <v>861.82716200000004</v>
      </c>
      <c r="D6" s="5">
        <v>0.03</v>
      </c>
      <c r="E6">
        <f t="shared" si="1"/>
        <v>1093.6819768600001</v>
      </c>
    </row>
    <row r="7" spans="1:10" x14ac:dyDescent="0.25">
      <c r="A7">
        <v>6</v>
      </c>
      <c r="B7">
        <v>200</v>
      </c>
      <c r="C7">
        <f t="shared" si="0"/>
        <v>1093.6819768600001</v>
      </c>
      <c r="D7" s="5">
        <v>0.03</v>
      </c>
      <c r="E7">
        <f t="shared" si="1"/>
        <v>1332.4924361658002</v>
      </c>
    </row>
    <row r="8" spans="1:10" x14ac:dyDescent="0.25">
      <c r="A8">
        <v>7</v>
      </c>
      <c r="B8">
        <v>200</v>
      </c>
      <c r="C8">
        <f t="shared" si="0"/>
        <v>1332.4924361658002</v>
      </c>
      <c r="D8" s="5">
        <v>0.03</v>
      </c>
      <c r="E8">
        <f t="shared" si="1"/>
        <v>1578.4672092507742</v>
      </c>
    </row>
    <row r="9" spans="1:10" x14ac:dyDescent="0.25">
      <c r="A9">
        <v>8</v>
      </c>
      <c r="B9">
        <v>200</v>
      </c>
      <c r="C9">
        <f t="shared" si="0"/>
        <v>1578.4672092507742</v>
      </c>
      <c r="D9" s="5">
        <v>0.03</v>
      </c>
      <c r="E9">
        <f t="shared" si="1"/>
        <v>1831.8212255282974</v>
      </c>
    </row>
    <row r="10" spans="1:10" x14ac:dyDescent="0.25">
      <c r="A10">
        <v>9</v>
      </c>
      <c r="B10">
        <v>200</v>
      </c>
      <c r="C10">
        <f t="shared" si="0"/>
        <v>1831.8212255282974</v>
      </c>
      <c r="D10" s="5">
        <v>0.03</v>
      </c>
      <c r="E10">
        <f t="shared" si="1"/>
        <v>2092.7758622941465</v>
      </c>
    </row>
    <row r="11" spans="1:10" x14ac:dyDescent="0.25">
      <c r="A11">
        <v>10</v>
      </c>
      <c r="B11">
        <v>200</v>
      </c>
      <c r="C11">
        <f t="shared" si="0"/>
        <v>2092.7758622941465</v>
      </c>
      <c r="D11" s="5">
        <v>0.03</v>
      </c>
      <c r="E11">
        <f t="shared" si="1"/>
        <v>2361.5591381629711</v>
      </c>
    </row>
    <row r="12" spans="1:10" x14ac:dyDescent="0.25">
      <c r="A12">
        <v>11</v>
      </c>
      <c r="B12">
        <v>200</v>
      </c>
      <c r="C12">
        <f t="shared" si="0"/>
        <v>2361.5591381629711</v>
      </c>
      <c r="D12" s="5">
        <v>0.03</v>
      </c>
      <c r="E12">
        <f t="shared" si="1"/>
        <v>2638.4059123078605</v>
      </c>
    </row>
    <row r="13" spans="1:10" x14ac:dyDescent="0.25">
      <c r="A13">
        <v>12</v>
      </c>
      <c r="B13">
        <v>200</v>
      </c>
      <c r="C13">
        <f t="shared" si="0"/>
        <v>2638.4059123078605</v>
      </c>
      <c r="D13" s="5">
        <v>0.03</v>
      </c>
      <c r="E13">
        <f t="shared" si="1"/>
        <v>2923.5580896770962</v>
      </c>
      <c r="H13">
        <f>SUM(B2:B13)</f>
        <v>2400</v>
      </c>
      <c r="I13">
        <f>E13-H13</f>
        <v>523.55808967709618</v>
      </c>
      <c r="J13">
        <f>E13/H13</f>
        <v>1.2181492040321233</v>
      </c>
    </row>
    <row r="14" spans="1:10" x14ac:dyDescent="0.25">
      <c r="A14">
        <v>13</v>
      </c>
      <c r="B14">
        <v>200</v>
      </c>
      <c r="C14">
        <f t="shared" si="0"/>
        <v>2923.5580896770962</v>
      </c>
      <c r="D14" s="5">
        <v>0.03</v>
      </c>
      <c r="E14">
        <f t="shared" si="1"/>
        <v>3217.2648323674093</v>
      </c>
    </row>
    <row r="15" spans="1:10" x14ac:dyDescent="0.25">
      <c r="A15">
        <v>14</v>
      </c>
      <c r="B15">
        <v>200</v>
      </c>
      <c r="C15">
        <f t="shared" si="0"/>
        <v>3217.2648323674093</v>
      </c>
      <c r="D15" s="5">
        <v>0.03</v>
      </c>
      <c r="E15">
        <f t="shared" si="1"/>
        <v>3519.7827773384315</v>
      </c>
    </row>
    <row r="16" spans="1:10" x14ac:dyDescent="0.25">
      <c r="A16">
        <v>15</v>
      </c>
      <c r="B16">
        <v>200</v>
      </c>
      <c r="C16">
        <f t="shared" si="0"/>
        <v>3519.7827773384315</v>
      </c>
      <c r="D16" s="5">
        <v>0.03</v>
      </c>
      <c r="E16">
        <f t="shared" si="1"/>
        <v>3831.3762606585847</v>
      </c>
    </row>
    <row r="17" spans="1:10" x14ac:dyDescent="0.25">
      <c r="A17">
        <v>16</v>
      </c>
      <c r="B17">
        <v>200</v>
      </c>
      <c r="C17">
        <f t="shared" si="0"/>
        <v>3831.3762606585847</v>
      </c>
      <c r="D17" s="5">
        <v>0.03</v>
      </c>
      <c r="E17">
        <f t="shared" si="1"/>
        <v>4152.3175484783424</v>
      </c>
    </row>
    <row r="18" spans="1:10" x14ac:dyDescent="0.25">
      <c r="A18">
        <v>17</v>
      </c>
      <c r="B18">
        <v>200</v>
      </c>
      <c r="C18">
        <f t="shared" si="0"/>
        <v>4152.3175484783424</v>
      </c>
      <c r="D18" s="5">
        <v>0.03</v>
      </c>
      <c r="E18">
        <f t="shared" si="1"/>
        <v>4482.8870749326925</v>
      </c>
    </row>
    <row r="19" spans="1:10" x14ac:dyDescent="0.25">
      <c r="A19">
        <v>18</v>
      </c>
      <c r="B19">
        <v>200</v>
      </c>
      <c r="C19">
        <f t="shared" si="0"/>
        <v>4482.8870749326925</v>
      </c>
      <c r="D19" s="5">
        <v>0.03</v>
      </c>
      <c r="E19">
        <f t="shared" si="1"/>
        <v>4823.3736871806732</v>
      </c>
    </row>
    <row r="20" spans="1:10" x14ac:dyDescent="0.25">
      <c r="A20">
        <v>19</v>
      </c>
      <c r="B20">
        <v>200</v>
      </c>
      <c r="C20">
        <f t="shared" si="0"/>
        <v>4823.3736871806732</v>
      </c>
      <c r="D20" s="5">
        <v>0.03</v>
      </c>
      <c r="E20">
        <f t="shared" si="1"/>
        <v>5174.0748977960939</v>
      </c>
    </row>
    <row r="21" spans="1:10" x14ac:dyDescent="0.25">
      <c r="A21">
        <v>20</v>
      </c>
      <c r="B21">
        <v>200</v>
      </c>
      <c r="C21">
        <f t="shared" si="0"/>
        <v>5174.0748977960939</v>
      </c>
      <c r="D21" s="5">
        <v>0.03</v>
      </c>
      <c r="E21">
        <f t="shared" si="1"/>
        <v>5535.2971447299769</v>
      </c>
    </row>
    <row r="22" spans="1:10" x14ac:dyDescent="0.25">
      <c r="A22">
        <v>21</v>
      </c>
      <c r="B22">
        <v>200</v>
      </c>
      <c r="C22">
        <f t="shared" si="0"/>
        <v>5535.2971447299769</v>
      </c>
      <c r="D22" s="5">
        <v>0.03</v>
      </c>
      <c r="E22">
        <f t="shared" si="1"/>
        <v>5907.3560590718762</v>
      </c>
    </row>
    <row r="23" spans="1:10" x14ac:dyDescent="0.25">
      <c r="A23">
        <v>22</v>
      </c>
      <c r="B23">
        <v>200</v>
      </c>
      <c r="C23">
        <f t="shared" si="0"/>
        <v>5907.3560590718762</v>
      </c>
      <c r="D23" s="5">
        <v>0.03</v>
      </c>
      <c r="E23">
        <f t="shared" si="1"/>
        <v>6290.5767408440324</v>
      </c>
    </row>
    <row r="24" spans="1:10" x14ac:dyDescent="0.25">
      <c r="A24">
        <v>23</v>
      </c>
      <c r="B24">
        <v>200</v>
      </c>
      <c r="C24">
        <f t="shared" si="0"/>
        <v>6290.5767408440324</v>
      </c>
      <c r="D24" s="5">
        <v>0.03</v>
      </c>
      <c r="E24">
        <f t="shared" si="1"/>
        <v>6685.2940430693534</v>
      </c>
      <c r="H24">
        <f>SUM(B2:B24)</f>
        <v>4600</v>
      </c>
      <c r="I24">
        <f>E24-H24</f>
        <v>2085.2940430693534</v>
      </c>
      <c r="J24">
        <f>E24/H24</f>
        <v>1.4533247919715986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A6EB75-A2C9-420E-B0E8-2E910D326782}">
  <sheetPr codeName="Sheet6"/>
  <dimension ref="A1:H13"/>
  <sheetViews>
    <sheetView zoomScale="160" zoomScaleNormal="160" workbookViewId="0">
      <selection activeCell="H13" sqref="H13"/>
    </sheetView>
  </sheetViews>
  <sheetFormatPr defaultRowHeight="15" x14ac:dyDescent="0.25"/>
  <cols>
    <col min="8" max="8" width="12.7109375" bestFit="1" customWidth="1"/>
  </cols>
  <sheetData>
    <row r="1" spans="1:8" x14ac:dyDescent="0.25">
      <c r="A1" t="s">
        <v>8</v>
      </c>
      <c r="B1" t="s">
        <v>9</v>
      </c>
      <c r="C1" t="s">
        <v>3</v>
      </c>
      <c r="D1" t="s">
        <v>11</v>
      </c>
      <c r="H1" t="s">
        <v>14</v>
      </c>
    </row>
    <row r="2" spans="1:8" x14ac:dyDescent="0.25">
      <c r="A2">
        <v>1</v>
      </c>
      <c r="B2">
        <v>800</v>
      </c>
      <c r="C2" s="5">
        <v>0.03</v>
      </c>
      <c r="D2">
        <f t="shared" ref="D2:D12" si="0">B2+B2*C2</f>
        <v>824</v>
      </c>
      <c r="H2">
        <f t="shared" ref="H2:H13" si="1">D2/$B$2</f>
        <v>1.03</v>
      </c>
    </row>
    <row r="3" spans="1:8" x14ac:dyDescent="0.25">
      <c r="A3">
        <v>2</v>
      </c>
      <c r="B3">
        <f>D2+800</f>
        <v>1624</v>
      </c>
      <c r="C3" s="5">
        <v>0.03</v>
      </c>
      <c r="D3">
        <f t="shared" si="0"/>
        <v>1672.72</v>
      </c>
      <c r="H3">
        <f t="shared" si="1"/>
        <v>2.0909</v>
      </c>
    </row>
    <row r="4" spans="1:8" x14ac:dyDescent="0.25">
      <c r="A4">
        <v>3</v>
      </c>
      <c r="B4">
        <f t="shared" ref="B4:B13" si="2">D3+800</f>
        <v>2472.7200000000003</v>
      </c>
      <c r="C4" s="5">
        <v>0.03</v>
      </c>
      <c r="D4">
        <f t="shared" si="0"/>
        <v>2546.9016000000001</v>
      </c>
      <c r="H4">
        <f t="shared" si="1"/>
        <v>3.183627</v>
      </c>
    </row>
    <row r="5" spans="1:8" x14ac:dyDescent="0.25">
      <c r="A5">
        <v>4</v>
      </c>
      <c r="B5">
        <f t="shared" si="2"/>
        <v>3346.9016000000001</v>
      </c>
      <c r="C5" s="5">
        <v>0.03</v>
      </c>
      <c r="D5">
        <f t="shared" si="0"/>
        <v>3447.3086480000002</v>
      </c>
      <c r="H5">
        <f t="shared" si="1"/>
        <v>4.3091358099999999</v>
      </c>
    </row>
    <row r="6" spans="1:8" x14ac:dyDescent="0.25">
      <c r="A6">
        <v>5</v>
      </c>
      <c r="B6">
        <f t="shared" si="2"/>
        <v>4247.3086480000002</v>
      </c>
      <c r="C6" s="5">
        <v>0.03</v>
      </c>
      <c r="D6">
        <f t="shared" si="0"/>
        <v>4374.7279074400003</v>
      </c>
      <c r="H6">
        <f t="shared" si="1"/>
        <v>5.4684098843000006</v>
      </c>
    </row>
    <row r="7" spans="1:8" x14ac:dyDescent="0.25">
      <c r="A7">
        <v>6</v>
      </c>
      <c r="B7">
        <f t="shared" si="2"/>
        <v>5174.7279074400003</v>
      </c>
      <c r="C7" s="5">
        <v>0.03</v>
      </c>
      <c r="D7">
        <f t="shared" si="0"/>
        <v>5329.9697446631999</v>
      </c>
      <c r="H7">
        <f t="shared" si="1"/>
        <v>6.6624621808289994</v>
      </c>
    </row>
    <row r="8" spans="1:8" x14ac:dyDescent="0.25">
      <c r="A8">
        <v>7</v>
      </c>
      <c r="B8">
        <f t="shared" si="2"/>
        <v>6129.9697446631999</v>
      </c>
      <c r="C8" s="5">
        <v>0.03</v>
      </c>
      <c r="D8">
        <f t="shared" si="0"/>
        <v>6313.8688370030959</v>
      </c>
      <c r="H8">
        <f t="shared" si="1"/>
        <v>7.8923360462538703</v>
      </c>
    </row>
    <row r="9" spans="1:8" x14ac:dyDescent="0.25">
      <c r="A9">
        <v>8</v>
      </c>
      <c r="B9">
        <f t="shared" si="2"/>
        <v>7113.8688370030959</v>
      </c>
      <c r="C9" s="5">
        <v>0.03</v>
      </c>
      <c r="D9">
        <f t="shared" si="0"/>
        <v>7327.2849021131888</v>
      </c>
      <c r="H9">
        <f t="shared" si="1"/>
        <v>9.1591061276414862</v>
      </c>
    </row>
    <row r="10" spans="1:8" x14ac:dyDescent="0.25">
      <c r="A10">
        <v>9</v>
      </c>
      <c r="B10">
        <f t="shared" si="2"/>
        <v>8127.2849021131888</v>
      </c>
      <c r="C10" s="5">
        <v>0.03</v>
      </c>
      <c r="D10">
        <f t="shared" si="0"/>
        <v>8371.103449176584</v>
      </c>
      <c r="H10">
        <f t="shared" si="1"/>
        <v>10.46387931147073</v>
      </c>
    </row>
    <row r="11" spans="1:8" x14ac:dyDescent="0.25">
      <c r="A11">
        <v>10</v>
      </c>
      <c r="B11">
        <f t="shared" si="2"/>
        <v>9171.103449176584</v>
      </c>
      <c r="C11" s="5">
        <v>0.03</v>
      </c>
      <c r="D11">
        <f t="shared" si="0"/>
        <v>9446.2365526518806</v>
      </c>
      <c r="H11">
        <f t="shared" si="1"/>
        <v>11.807795690814851</v>
      </c>
    </row>
    <row r="12" spans="1:8" x14ac:dyDescent="0.25">
      <c r="A12">
        <v>11</v>
      </c>
      <c r="B12">
        <f t="shared" si="2"/>
        <v>10246.236552651881</v>
      </c>
      <c r="C12" s="5">
        <v>0.03</v>
      </c>
      <c r="D12">
        <f t="shared" si="0"/>
        <v>10553.623649231437</v>
      </c>
      <c r="H12">
        <f t="shared" si="1"/>
        <v>13.192029561539295</v>
      </c>
    </row>
    <row r="13" spans="1:8" x14ac:dyDescent="0.25">
      <c r="A13">
        <v>12</v>
      </c>
      <c r="B13">
        <f t="shared" si="2"/>
        <v>11353.623649231437</v>
      </c>
      <c r="C13" s="5">
        <v>0.03</v>
      </c>
      <c r="D13">
        <f t="shared" ref="D13" si="3">B13+B13*C13</f>
        <v>11694.232358708379</v>
      </c>
      <c r="H13">
        <f t="shared" si="1"/>
        <v>14.617790448385474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D5784D-4D10-45CA-B4F2-D1AC82468B34}">
  <sheetPr codeName="Sheet7"/>
  <dimension ref="A1:G4"/>
  <sheetViews>
    <sheetView workbookViewId="0">
      <selection activeCell="H35" sqref="H35"/>
    </sheetView>
  </sheetViews>
  <sheetFormatPr defaultRowHeight="15" x14ac:dyDescent="0.25"/>
  <sheetData>
    <row r="1" spans="1:7" x14ac:dyDescent="0.25">
      <c r="B1" t="s">
        <v>0</v>
      </c>
      <c r="C1" t="s">
        <v>5</v>
      </c>
    </row>
    <row r="2" spans="1:7" x14ac:dyDescent="0.25">
      <c r="A2">
        <v>11834</v>
      </c>
      <c r="B2">
        <v>0.10947564</v>
      </c>
      <c r="C2">
        <v>1295.54</v>
      </c>
      <c r="E2" t="s">
        <v>6</v>
      </c>
      <c r="G2">
        <f>A2*B2</f>
        <v>1295.5347237599999</v>
      </c>
    </row>
    <row r="3" spans="1:7" x14ac:dyDescent="0.25">
      <c r="A3">
        <v>11612</v>
      </c>
      <c r="B3" s="4">
        <f>C3/A3</f>
        <v>0.11156906648294868</v>
      </c>
      <c r="C3">
        <v>1295.54</v>
      </c>
      <c r="E3" t="s">
        <v>7</v>
      </c>
    </row>
    <row r="4" spans="1:7" x14ac:dyDescent="0.25">
      <c r="A4">
        <v>11834</v>
      </c>
      <c r="B4" s="4">
        <v>0.11156906648294868</v>
      </c>
      <c r="C4">
        <f>A4*B4</f>
        <v>1320.3083327592146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ideal_plan</vt:lpstr>
      <vt:lpstr>Sheet1</vt:lpstr>
      <vt:lpstr>IRA ROTH</vt:lpstr>
      <vt:lpstr>IR MOB</vt:lpstr>
      <vt:lpstr>plan stepenica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kresimir ivkovic</dc:creator>
  <cp:lastModifiedBy>kresimir ivkovic</cp:lastModifiedBy>
  <cp:lastPrinted>2020-11-18T21:42:49Z</cp:lastPrinted>
  <dcterms:created xsi:type="dcterms:W3CDTF">2019-06-07T10:33:17Z</dcterms:created>
  <dcterms:modified xsi:type="dcterms:W3CDTF">2020-12-31T00:50:46Z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865cee0a-2ad9-4250-8165-6aad8b39ba73</vt:lpwstr>
  </property>
</Properties>
</file>